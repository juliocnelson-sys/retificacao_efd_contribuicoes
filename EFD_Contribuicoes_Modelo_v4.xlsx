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0_EMPRESA" sheetId="2" state="visible" r:id="rId2"/>
    <sheet xmlns:r="http://schemas.openxmlformats.org/officeDocument/2006/relationships" name="0150_PARTICIPANTES" sheetId="3" state="visible" r:id="rId3"/>
    <sheet xmlns:r="http://schemas.openxmlformats.org/officeDocument/2006/relationships" name="0190_UNIDADES" sheetId="4" state="visible" r:id="rId4"/>
    <sheet xmlns:r="http://schemas.openxmlformats.org/officeDocument/2006/relationships" name="0200_ITENS" sheetId="5" state="visible" r:id="rId5"/>
    <sheet xmlns:r="http://schemas.openxmlformats.org/officeDocument/2006/relationships" name="0400_NAT_REC" sheetId="6" state="visible" r:id="rId6"/>
    <sheet xmlns:r="http://schemas.openxmlformats.org/officeDocument/2006/relationships" name="A100_A170" sheetId="7" state="visible" r:id="rId7"/>
    <sheet xmlns:r="http://schemas.openxmlformats.org/officeDocument/2006/relationships" name="C100_C170" sheetId="8" state="visible" r:id="rId8"/>
    <sheet xmlns:r="http://schemas.openxmlformats.org/officeDocument/2006/relationships" name="D100_D101_D105" sheetId="9" state="visible" r:id="rId9"/>
    <sheet xmlns:r="http://schemas.openxmlformats.org/officeDocument/2006/relationships" name="C500_C501_C505" sheetId="10" state="visible" r:id="rId10"/>
    <sheet xmlns:r="http://schemas.openxmlformats.org/officeDocument/2006/relationships" name="0500_PLANO_CONTAS" sheetId="11" state="visible" r:id="rId11"/>
    <sheet xmlns:r="http://schemas.openxmlformats.org/officeDocument/2006/relationships" name="F100" sheetId="12" state="visible" r:id="rId12"/>
    <sheet xmlns:r="http://schemas.openxmlformats.org/officeDocument/2006/relationships" name="F120" sheetId="13" state="visible" r:id="rId13"/>
    <sheet xmlns:r="http://schemas.openxmlformats.org/officeDocument/2006/relationships" name="F130" sheetId="14" state="visible" r:id="rId14"/>
    <sheet xmlns:r="http://schemas.openxmlformats.org/officeDocument/2006/relationships" name="LISTAS" sheetId="15" state="hidden" r:id="rId1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23">
    <font>
      <name val="Calibri"/>
      <family val="2"/>
      <color theme="1"/>
      <sz val="11"/>
      <scheme val="minor"/>
    </font>
    <font>
      <name val="Aptos Narrow"/>
      <family val="2"/>
      <color theme="1"/>
      <sz val="12"/>
    </font>
    <font>
      <name val="Aptos Narrow"/>
      <family val="2"/>
      <color theme="1"/>
      <sz val="12"/>
    </font>
    <font>
      <name val="Arial"/>
      <family val="2"/>
      <b val="1"/>
      <color rgb="FFFFFFFF"/>
      <sz val="11"/>
    </font>
    <font>
      <name val="Arial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sz val="9"/>
    </font>
    <font>
      <name val="Arial"/>
      <family val="2"/>
      <b val="1"/>
      <color rgb="FFFFFFFF"/>
      <sz val="8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ptos Narrow"/>
      <family val="2"/>
      <b val="1"/>
      <color rgb="FFFFFFFF"/>
      <sz val="12"/>
    </font>
    <font>
      <name val="Aptos Narrow"/>
      <family val="2"/>
      <color rgb="FF000000"/>
      <sz val="12"/>
    </font>
    <font>
      <name val="Aptos Narrow"/>
      <family val="2"/>
      <color rgb="FF333333"/>
      <sz val="12"/>
    </font>
    <font>
      <name val="Aptos Narrow"/>
      <family val="2"/>
      <i val="1"/>
      <color rgb="FF666666"/>
      <sz val="12"/>
    </font>
    <font>
      <name val="Calibri"/>
      <family val="2"/>
      <color rgb="FF333333"/>
      <sz val="12"/>
      <scheme val="minor"/>
    </font>
    <font>
      <name val="Arial"/>
      <b val="1"/>
      <color rgb="00FFFFFF"/>
      <sz val="11"/>
    </font>
    <font>
      <name val="Arial"/>
      <b val="1"/>
      <color rgb="00FFFFFF"/>
      <sz val="9"/>
    </font>
    <font>
      <name val="Arial"/>
      <b val="1"/>
      <color rgb="00FFFFFF"/>
      <sz val="8"/>
    </font>
    <font>
      <name val="Arial"/>
      <color rgb="00000000"/>
      <sz val="9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10"/>
    </font>
  </fonts>
  <fills count="2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2E75B6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BF3FB"/>
      </patternFill>
    </fill>
    <fill>
      <patternFill patternType="solid">
        <fgColor rgb="FFD9D9D9"/>
      </patternFill>
    </fill>
    <fill>
      <patternFill patternType="solid">
        <fgColor rgb="FF7F7F7F"/>
      </patternFill>
    </fill>
    <fill>
      <patternFill patternType="solid">
        <fgColor rgb="FF1A6B3C"/>
      </patternFill>
    </fill>
    <fill>
      <patternFill patternType="solid">
        <fgColor rgb="FF7B3F00"/>
      </patternFill>
    </fill>
    <fill>
      <patternFill patternType="solid">
        <fgColor rgb="FFFFFF00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F7F7F"/>
      </patternFill>
    </fill>
    <fill>
      <patternFill patternType="solid">
        <fgColor rgb="001A6B3C"/>
      </patternFill>
    </fill>
    <fill>
      <patternFill patternType="solid">
        <fgColor rgb="007B3F0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BF3FB"/>
      </patternFill>
    </fill>
    <fill>
      <patternFill patternType="solid">
        <fgColor rgb="00D9D9D9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9" fillId="0" borderId="0"/>
    <xf numFmtId="43" fontId="9" fillId="0" borderId="0"/>
  </cellStyleXfs>
  <cellXfs count="75">
    <xf numFmtId="0" fontId="0" fillId="0" borderId="0" pivotButton="0" quotePrefix="0" xfId="0"/>
    <xf numFmtId="0" fontId="5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left" vertical="center"/>
    </xf>
    <xf numFmtId="0" fontId="12" fillId="10" borderId="1" applyAlignment="1" pivotButton="0" quotePrefix="0" xfId="0">
      <alignment horizontal="left" vertical="center"/>
    </xf>
    <xf numFmtId="49" fontId="13" fillId="15" borderId="2" applyAlignment="1" pivotButton="0" quotePrefix="0" xfId="0">
      <alignment horizontal="center" vertical="center"/>
    </xf>
    <xf numFmtId="0" fontId="13" fillId="15" borderId="2" applyAlignment="1" pivotButton="0" quotePrefix="0" xfId="0">
      <alignment horizontal="center" vertical="center"/>
    </xf>
    <xf numFmtId="49" fontId="12" fillId="9" borderId="1" applyAlignment="1" pivotButton="0" quotePrefix="0" xfId="0">
      <alignment horizontal="left" vertical="center"/>
    </xf>
    <xf numFmtId="0" fontId="11" fillId="2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17" fontId="12" fillId="8" borderId="2" applyAlignment="1" pivotButton="0" quotePrefix="0" xfId="0">
      <alignment horizontal="left" vertical="center"/>
    </xf>
    <xf numFmtId="0" fontId="12" fillId="10" borderId="2" applyAlignment="1" pivotButton="0" quotePrefix="0" xfId="0">
      <alignment horizontal="left" vertical="center"/>
    </xf>
    <xf numFmtId="0" fontId="2" fillId="15" borderId="2" applyAlignment="1" pivotButton="0" quotePrefix="0" xfId="0">
      <alignment horizontal="center"/>
    </xf>
    <xf numFmtId="0" fontId="12" fillId="9" borderId="2" applyAlignment="1" pivotButton="0" quotePrefix="0" xfId="0">
      <alignment horizontal="left" vertical="center"/>
    </xf>
    <xf numFmtId="0" fontId="2" fillId="15" borderId="2" applyAlignment="1" pivotButton="0" quotePrefix="0" xfId="0">
      <alignment horizontal="center" wrapText="1"/>
    </xf>
    <xf numFmtId="0" fontId="2" fillId="0" borderId="2" pivotButton="0" quotePrefix="0" xfId="0"/>
    <xf numFmtId="14" fontId="13" fillId="15" borderId="2" applyAlignment="1" pivotButton="0" quotePrefix="0" xfId="0">
      <alignment horizontal="center" vertical="center"/>
    </xf>
    <xf numFmtId="1" fontId="13" fillId="15" borderId="2" applyAlignment="1" pivotButton="0" quotePrefix="0" xfId="0">
      <alignment horizontal="center" vertical="center"/>
    </xf>
    <xf numFmtId="164" fontId="13" fillId="15" borderId="2" applyAlignment="1" pivotButton="0" quotePrefix="0" xfId="1">
      <alignment horizontal="center" vertical="center"/>
    </xf>
    <xf numFmtId="0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/>
    </xf>
    <xf numFmtId="164" fontId="12" fillId="10" borderId="1" applyAlignment="1" pivotButton="0" quotePrefix="0" xfId="1">
      <alignment horizontal="left" vertical="center"/>
    </xf>
    <xf numFmtId="0" fontId="11" fillId="14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vertical="center" wrapText="1"/>
    </xf>
    <xf numFmtId="0" fontId="11" fillId="14" borderId="0" applyAlignment="1" pivotButton="0" quotePrefix="0" xfId="0">
      <alignment horizontal="center" vertical="center"/>
    </xf>
    <xf numFmtId="49" fontId="15" fillId="15" borderId="2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164" fontId="13" fillId="15" borderId="2" applyAlignment="1" pivotButton="0" quotePrefix="0" xfId="1">
      <alignment horizontal="center" vertical="center"/>
    </xf>
    <xf numFmtId="164" fontId="12" fillId="10" borderId="1" applyAlignment="1" pivotButton="0" quotePrefix="0" xfId="1">
      <alignment horizontal="left" vertical="center"/>
    </xf>
    <xf numFmtId="0" fontId="16" fillId="16" borderId="0" applyAlignment="1" pivotButton="0" quotePrefix="0" xfId="0">
      <alignment horizontal="center" vertical="center"/>
    </xf>
    <xf numFmtId="0" fontId="17" fillId="16" borderId="0" applyAlignment="1" pivotButton="0" quotePrefix="0" xfId="0">
      <alignment horizontal="center" vertical="center"/>
    </xf>
    <xf numFmtId="0" fontId="17" fillId="17" borderId="0" applyAlignment="1" pivotButton="0" quotePrefix="0" xfId="0">
      <alignment horizontal="center" vertical="center"/>
    </xf>
    <xf numFmtId="0" fontId="17" fillId="18" borderId="0" applyAlignment="1" pivotButton="0" quotePrefix="0" xfId="0">
      <alignment horizontal="center" vertical="center"/>
    </xf>
    <xf numFmtId="0" fontId="17" fillId="19" borderId="0" applyAlignment="1" pivotButton="0" quotePrefix="0" xfId="0">
      <alignment horizontal="center" vertical="center"/>
    </xf>
    <xf numFmtId="0" fontId="17" fillId="20" borderId="0" applyAlignment="1" pivotButton="0" quotePrefix="0" xfId="0">
      <alignment horizontal="center" vertical="center"/>
    </xf>
    <xf numFmtId="0" fontId="18" fillId="16" borderId="7" applyAlignment="1" pivotButton="0" quotePrefix="0" xfId="0">
      <alignment horizontal="center" vertical="center" wrapText="1"/>
    </xf>
    <xf numFmtId="0" fontId="18" fillId="17" borderId="7" applyAlignment="1" pivotButton="0" quotePrefix="0" xfId="0">
      <alignment horizontal="center" vertical="center" wrapText="1"/>
    </xf>
    <xf numFmtId="0" fontId="18" fillId="18" borderId="7" applyAlignment="1" pivotButton="0" quotePrefix="0" xfId="0">
      <alignment horizontal="center" vertical="center" wrapText="1"/>
    </xf>
    <xf numFmtId="0" fontId="18" fillId="19" borderId="7" applyAlignment="1" pivotButton="0" quotePrefix="0" xfId="0">
      <alignment horizontal="center" vertical="center" wrapText="1"/>
    </xf>
    <xf numFmtId="0" fontId="18" fillId="20" borderId="7" applyAlignment="1" pivotButton="0" quotePrefix="0" xfId="0">
      <alignment horizontal="center" vertical="center" wrapText="1"/>
    </xf>
    <xf numFmtId="0" fontId="19" fillId="21" borderId="7" applyAlignment="1" pivotButton="0" quotePrefix="0" xfId="0">
      <alignment horizontal="left" vertical="center"/>
    </xf>
    <xf numFmtId="0" fontId="19" fillId="22" borderId="7" applyAlignment="1" pivotButton="0" quotePrefix="0" xfId="0">
      <alignment horizontal="left" vertical="center"/>
    </xf>
    <xf numFmtId="0" fontId="19" fillId="23" borderId="7" applyAlignment="1" pivotButton="0" quotePrefix="0" xfId="0">
      <alignment horizontal="left" vertical="center"/>
    </xf>
    <xf numFmtId="0" fontId="19" fillId="24" borderId="7" applyAlignment="1" pivotButton="0" quotePrefix="0" xfId="0">
      <alignment horizontal="left" vertical="center"/>
    </xf>
    <xf numFmtId="0" fontId="20" fillId="25" borderId="7" applyAlignment="1" pivotButton="0" quotePrefix="0" xfId="0">
      <alignment horizontal="left" vertical="center"/>
    </xf>
    <xf numFmtId="0" fontId="21" fillId="23" borderId="7" applyAlignment="1" pivotButton="0" quotePrefix="0" xfId="0">
      <alignment horizontal="left" vertical="center"/>
    </xf>
    <xf numFmtId="0" fontId="21" fillId="24" borderId="7" applyAlignment="1" pivotButton="0" quotePrefix="0" xfId="0">
      <alignment horizontal="left" vertical="center"/>
    </xf>
    <xf numFmtId="0" fontId="22" fillId="16" borderId="0" applyAlignment="1" pivotButton="0" quotePrefix="0" xfId="0">
      <alignment horizontal="center" vertical="center"/>
    </xf>
    <xf numFmtId="0" fontId="18" fillId="21" borderId="7" applyAlignment="1" pivotButton="0" quotePrefix="0" xfId="0">
      <alignment horizontal="center" vertical="center" wrapText="1"/>
    </xf>
    <xf numFmtId="0" fontId="18" fillId="22" borderId="7" applyAlignment="1" pivotButton="0" quotePrefix="0" xfId="0">
      <alignment horizontal="center" vertical="center" wrapText="1"/>
    </xf>
  </cellXfs>
  <cellStyles count="2">
    <cellStyle name="Normal" xfId="0" builtinId="0"/>
    <cellStyle name="Vírgula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:H1"/>
    </sheetView>
  </sheetViews>
  <sheetFormatPr baseColWidth="8" defaultRowHeight="15"/>
  <cols>
    <col width="22" customWidth="1" style="43" min="1" max="1"/>
    <col width="18" customWidth="1" style="43" min="2" max="2"/>
    <col width="50" customWidth="1" style="43" min="3" max="3"/>
    <col width="45" customWidth="1" style="43" min="4" max="4"/>
  </cols>
  <sheetData>
    <row r="1" ht="36" customHeight="1" s="43">
      <c r="A1" s="42" t="inlineStr">
        <is>
          <t>📋  PLANILHA MODELO – EFD CONTRIBUIÇÕES  |  RETIFICAÇÃO  |  v3</t>
        </is>
      </c>
    </row>
    <row r="2" ht="50.1" customHeight="1" s="43">
      <c r="A2" s="46" t="inlineStr">
        <is>
          <t>Preencha cada aba conforme o registro. CNPJ_ESTAB (verde) identifica a matriz ou filial. PERÍODO (amarelo) no formato MMAAAA (ex: 012024). Campos LARANJA são obrigatórios. Campos AZUL CLARO são opcionais. Campos CINZA são calculados automaticamente pelo script — não preencher. Nas abas A100_A170 e C100_C170: cada linha representa 1 item da nota fiscal; preencha os dados do cabeçalho (NF, fornecedor, datas) repetidos em cada linha de item. O script agrupa por CNPJ_ESTAB + PERÍODO + NUM_DOC e totaliza VL_DOC, VL_PIS, VL_COFINS etc.</t>
        </is>
      </c>
    </row>
    <row r="4" ht="21.95" customHeight="1" s="43">
      <c r="A4" s="1" t="inlineStr">
        <is>
          <t>ABA</t>
        </is>
      </c>
      <c r="B4" s="1" t="inlineStr">
        <is>
          <t>REGISTRO(S)</t>
        </is>
      </c>
      <c r="C4" s="1" t="inlineStr">
        <is>
          <t>DESCRIÇÃO</t>
        </is>
      </c>
      <c r="D4" s="1" t="inlineStr">
        <is>
          <t>OBSERVAÇÃO</t>
        </is>
      </c>
    </row>
    <row r="5" ht="21.95" customHeight="1" s="43">
      <c r="A5" s="2" t="inlineStr">
        <is>
          <t>0_EMPRESA</t>
        </is>
      </c>
      <c r="B5" s="2" t="inlineStr">
        <is>
          <t>0000</t>
        </is>
      </c>
      <c r="C5" s="2" t="inlineStr">
        <is>
          <t>Período, CNPJ, indicadores</t>
        </is>
      </c>
      <c r="D5" s="2" t="inlineStr">
        <is>
          <t>1 linha por TXT/período</t>
        </is>
      </c>
    </row>
    <row r="6" ht="21.95" customHeight="1" s="43">
      <c r="A6" s="3" t="inlineStr">
        <is>
          <t>0150_PARTICIPANTES</t>
        </is>
      </c>
      <c r="B6" s="3" t="inlineStr">
        <is>
          <t>0150</t>
        </is>
      </c>
      <c r="C6" s="3" t="inlineStr">
        <is>
          <t>Fornecedores e clientes</t>
        </is>
      </c>
      <c r="D6" s="3" t="inlineStr">
        <is>
          <t>1 linha por participante</t>
        </is>
      </c>
    </row>
    <row r="7" ht="21.95" customHeight="1" s="43">
      <c r="A7" s="2" t="inlineStr">
        <is>
          <t>0190_UNIDADES</t>
        </is>
      </c>
      <c r="B7" s="2" t="inlineStr">
        <is>
          <t>0190</t>
        </is>
      </c>
      <c r="C7" s="2" t="inlineStr">
        <is>
          <t>Unidades de medida</t>
        </is>
      </c>
      <c r="D7" s="2" t="inlineStr">
        <is>
          <t>1 linha por unidade</t>
        </is>
      </c>
    </row>
    <row r="8" ht="21.95" customHeight="1" s="43">
      <c r="A8" s="3" t="inlineStr">
        <is>
          <t>0200_ITENS</t>
        </is>
      </c>
      <c r="B8" s="3" t="inlineStr">
        <is>
          <t>0200</t>
        </is>
      </c>
      <c r="C8" s="3" t="inlineStr">
        <is>
          <t>Produtos e serviços</t>
        </is>
      </c>
      <c r="D8" s="3" t="inlineStr">
        <is>
          <t>1 linha por item</t>
        </is>
      </c>
    </row>
    <row r="9" ht="21.95" customHeight="1" s="43">
      <c r="A9" s="2" t="inlineStr">
        <is>
          <t>0400_NAT_REC</t>
        </is>
      </c>
      <c r="B9" s="2" t="inlineStr">
        <is>
          <t>0400</t>
        </is>
      </c>
      <c r="C9" s="2" t="inlineStr">
        <is>
          <t>Naturezas de receita</t>
        </is>
      </c>
      <c r="D9" s="2" t="inlineStr">
        <is>
          <t>Sem CNPJ_ESTAB – base geral</t>
        </is>
      </c>
    </row>
    <row r="10" ht="21.95" customHeight="1" s="43">
      <c r="A10" s="3" t="inlineStr">
        <is>
          <t>0500_PLANO_CONTAS</t>
        </is>
      </c>
      <c r="B10" s="3" t="inlineStr">
        <is>
          <t>0500</t>
        </is>
      </c>
      <c r="C10" s="3" t="inlineStr">
        <is>
          <t>Plano de contas analítico</t>
        </is>
      </c>
      <c r="D10" s="3" t="inlineStr">
        <is>
          <t>Sem CNPJ_ESTAB – base geral</t>
        </is>
      </c>
    </row>
    <row r="11" ht="21.95" customHeight="1" s="43">
      <c r="A11" s="2" t="inlineStr">
        <is>
          <t>A100_A170</t>
        </is>
      </c>
      <c r="B11" s="2" t="inlineStr">
        <is>
          <t>A100 + A170</t>
        </is>
      </c>
      <c r="C11" s="2" t="inlineStr">
        <is>
          <t>NFS-e + itens (1 linha = 1 item)</t>
        </is>
      </c>
      <c r="D11" s="2" t="inlineStr">
        <is>
          <t>Cabeçalho repetido por item; totais pelo script</t>
        </is>
      </c>
    </row>
    <row r="12" ht="21.95" customHeight="1" s="43">
      <c r="A12" s="3" t="inlineStr">
        <is>
          <t>C100_C170</t>
        </is>
      </c>
      <c r="B12" s="3" t="inlineStr">
        <is>
          <t>C100 + C170</t>
        </is>
      </c>
      <c r="C12" s="3" t="inlineStr">
        <is>
          <t>NF-e / NF Mod.1 + itens (1 linha = 1 item)</t>
        </is>
      </c>
      <c r="D12" s="3" t="inlineStr">
        <is>
          <t>Cabeçalho repetido por item; totais pelo script</t>
        </is>
      </c>
    </row>
    <row r="13" ht="21.95" customHeight="1" s="43">
      <c r="A13" s="2" t="inlineStr">
        <is>
          <t>D100_D101_D105</t>
        </is>
      </c>
      <c r="B13" s="2" t="inlineStr">
        <is>
          <t>D100+D101+D105</t>
        </is>
      </c>
      <c r="C13" s="2" t="inlineStr">
        <is>
          <t>CT-e + PIS + COFINS</t>
        </is>
      </c>
      <c r="D13" s="2" t="inlineStr">
        <is>
          <t>1 linha = 1 documento</t>
        </is>
      </c>
    </row>
    <row r="14" ht="21.95" customHeight="1" s="43">
      <c r="A14" s="3" t="inlineStr">
        <is>
          <t>F100</t>
        </is>
      </c>
      <c r="B14" s="3" t="inlineStr">
        <is>
          <t>F100</t>
        </is>
      </c>
      <c r="C14" s="3" t="inlineStr">
        <is>
          <t>Demais documentos e operações</t>
        </is>
      </c>
      <c r="D14" s="3" t="inlineStr">
        <is>
          <t>1 linha por operação</t>
        </is>
      </c>
    </row>
    <row r="15" ht="21.95" customHeight="1" s="43">
      <c r="A15" s="2" t="inlineStr">
        <is>
          <t>F120</t>
        </is>
      </c>
      <c r="B15" s="2" t="inlineStr">
        <is>
          <t>F120</t>
        </is>
      </c>
      <c r="C15" s="2" t="inlineStr">
        <is>
          <t>Ativo imobilizado – depreciação</t>
        </is>
      </c>
      <c r="D15" s="2" t="inlineStr">
        <is>
          <t>1 linha por bem</t>
        </is>
      </c>
    </row>
    <row r="16" ht="21.95" customHeight="1" s="43">
      <c r="A16" s="3" t="inlineStr">
        <is>
          <t>F130</t>
        </is>
      </c>
      <c r="B16" s="3" t="inlineStr">
        <is>
          <t>F130</t>
        </is>
      </c>
      <c r="C16" s="3" t="inlineStr">
        <is>
          <t>Ativo imobilizado – aquisição</t>
        </is>
      </c>
      <c r="D16" s="3" t="inlineStr">
        <is>
          <t>1 linha por bem</t>
        </is>
      </c>
    </row>
    <row r="18" ht="20.1" customHeight="1" s="43">
      <c r="A18" s="45" t="inlineStr">
        <is>
          <t>LEGENDA DE CORES</t>
        </is>
      </c>
      <c r="B18" s="50" t="n"/>
      <c r="C18" s="50" t="n"/>
      <c r="D18" s="51" t="n"/>
    </row>
    <row r="19" ht="18" customHeight="1" s="43">
      <c r="A19" s="4" t="n"/>
      <c r="B19" s="44" t="inlineStr">
        <is>
          <t>CNPJ_ESTAB – identifica a matriz ou filial</t>
        </is>
      </c>
      <c r="C19" s="50" t="n"/>
      <c r="D19" s="51" t="n"/>
    </row>
    <row r="20" ht="18" customHeight="1" s="43">
      <c r="A20" s="5" t="n"/>
      <c r="B20" s="44" t="inlineStr">
        <is>
          <t>PERÍODO – formato MMAAAA  (ex.: 012024)</t>
        </is>
      </c>
      <c r="C20" s="50" t="n"/>
      <c r="D20" s="51" t="n"/>
    </row>
    <row r="21" ht="18" customHeight="1" s="43">
      <c r="A21" s="6" t="n"/>
      <c r="B21" s="44" t="inlineStr">
        <is>
          <t>Campo OBRIGATÓRIO – deve ser preenchido pelo usuário</t>
        </is>
      </c>
      <c r="C21" s="50" t="n"/>
      <c r="D21" s="51" t="n"/>
    </row>
    <row r="22" ht="18" customHeight="1" s="43">
      <c r="A22" s="7" t="n"/>
      <c r="B22" s="44" t="inlineStr">
        <is>
          <t>Campo OPCIONAL – preencher quando aplicável</t>
        </is>
      </c>
      <c r="C22" s="50" t="n"/>
      <c r="D22" s="51" t="n"/>
    </row>
    <row r="23" ht="18" customHeight="1" s="43">
      <c r="A23" s="8" t="n"/>
      <c r="B23" s="44" t="inlineStr">
        <is>
          <t>Campo CALCULADO PELO SCRIPT – não preencher</t>
        </is>
      </c>
      <c r="C23" s="50" t="n"/>
      <c r="D23" s="51" t="n"/>
    </row>
  </sheetData>
  <mergeCells count="8">
    <mergeCell ref="A18:D18"/>
    <mergeCell ref="B19:D19"/>
    <mergeCell ref="B23:D23"/>
    <mergeCell ref="B22:D22"/>
    <mergeCell ref="A2:H2"/>
    <mergeCell ref="B21:D21"/>
    <mergeCell ref="A1:H1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.75"/>
  <cols>
    <col width="17.28515625" bestFit="1" customWidth="1" style="38" min="1" max="1"/>
    <col width="11" bestFit="1" customWidth="1" style="38" min="2" max="2"/>
    <col width="17.28515625" bestFit="1" customWidth="1" style="38" min="3" max="3"/>
    <col width="43.5703125" bestFit="1" customWidth="1" style="38" min="4" max="4"/>
    <col width="3.5703125" bestFit="1" customWidth="1" style="38" min="5" max="5"/>
    <col width="15.28515625" customWidth="1" style="38" min="6" max="6"/>
    <col width="11.42578125" bestFit="1" customWidth="1" style="38" min="7" max="7"/>
    <col width="9.7109375" bestFit="1" customWidth="1" style="38" min="8" max="8"/>
    <col width="9.42578125" bestFit="1" customWidth="1" style="38" min="9" max="9"/>
    <col width="9.28515625" bestFit="1" customWidth="1" style="38" min="10" max="10"/>
    <col width="13.7109375" bestFit="1" customWidth="1" style="38" min="11" max="11"/>
    <col width="20.42578125" bestFit="1" customWidth="1" style="38" min="12" max="12"/>
    <col width="21" bestFit="1" customWidth="1" style="38" min="13" max="13"/>
    <col width="21.42578125" bestFit="1" customWidth="1" style="38" min="14" max="14"/>
    <col width="9.140625" customWidth="1" style="38" min="15" max="16384"/>
  </cols>
  <sheetData>
    <row r="1" ht="30" customHeight="1" s="43">
      <c r="A1" s="37" t="inlineStr">
        <is>
          <t>EFD CONTRIBUIÇÕES  |  0000  –  Identificação da Empresa e Período</t>
        </is>
      </c>
    </row>
    <row r="2" ht="36" customHeight="1" s="43">
      <c r="A2" s="12" t="inlineStr">
        <is>
          <t>CNPJ_ESTAB</t>
        </is>
      </c>
      <c r="B2" s="12" t="inlineStr">
        <is>
          <t>PERÍODO
(MMAAAA)</t>
        </is>
      </c>
      <c r="C2" s="13" t="inlineStr">
        <is>
          <t>CNPJ</t>
        </is>
      </c>
      <c r="D2" s="13" t="inlineStr">
        <is>
          <t>NOME / RAZÃO SOCIAL</t>
        </is>
      </c>
      <c r="E2" s="13" t="inlineStr">
        <is>
          <t>UF</t>
        </is>
      </c>
      <c r="F2" s="13" t="inlineStr">
        <is>
          <t>COD_MUN</t>
        </is>
      </c>
      <c r="G2" s="13" t="inlineStr">
        <is>
          <t>IND_SIT_ESP</t>
        </is>
      </c>
      <c r="H2" s="13" t="inlineStr">
        <is>
          <t>IND_NIRE</t>
        </is>
      </c>
      <c r="I2" s="13" t="inlineStr">
        <is>
          <t>IND_ATIV</t>
        </is>
      </c>
      <c r="J2" s="13" t="inlineStr">
        <is>
          <t>IND_APUR</t>
        </is>
      </c>
      <c r="K2" s="13" t="inlineStr">
        <is>
          <t>COD_VER_LEIAUTE</t>
        </is>
      </c>
      <c r="L2" s="13" t="inlineStr">
        <is>
          <t>IND_RET
(0=Original/1=Retif.)</t>
        </is>
      </c>
      <c r="M2" s="13" t="inlineStr">
        <is>
          <t>NUM_REC_ANTERIOR</t>
        </is>
      </c>
      <c r="N2" s="13" t="inlineStr">
        <is>
          <t>NOME_TXT_ORIGINAL</t>
        </is>
      </c>
    </row>
    <row r="3">
      <c r="A3" s="48" t="inlineStr">
        <is>
          <t>03022008001038</t>
        </is>
      </c>
      <c r="B3" s="15" t="n">
        <v>102021</v>
      </c>
      <c r="C3" s="48" t="inlineStr">
        <is>
          <t>03022008001038</t>
        </is>
      </c>
      <c r="D3" s="16" t="inlineStr">
        <is>
          <t>TROUW NUTRITION BRASIL NUTRICAO LTDA|</t>
        </is>
      </c>
      <c r="E3" s="16" t="inlineStr">
        <is>
          <t>SP</t>
        </is>
      </c>
      <c r="F3" s="16" t="n"/>
      <c r="G3" s="17" t="n"/>
      <c r="H3" s="17" t="n"/>
      <c r="I3" s="16" t="n"/>
      <c r="J3" s="16" t="n"/>
      <c r="K3" s="16" t="n"/>
      <c r="L3" s="16" t="n"/>
      <c r="M3" s="17" t="n"/>
      <c r="N3" s="16" t="inlineStr">
        <is>
          <t>EFD 102021.TXT</t>
        </is>
      </c>
    </row>
    <row r="4">
      <c r="A4" s="48" t="inlineStr">
        <is>
          <t>03022008000147</t>
        </is>
      </c>
      <c r="B4" s="15" t="n">
        <v>102021</v>
      </c>
      <c r="C4" s="48" t="inlineStr">
        <is>
          <t>03022008000147</t>
        </is>
      </c>
      <c r="D4" s="16" t="inlineStr">
        <is>
          <t>TROUW NUTRITION BRASIL NUTRICAO LTDA|</t>
        </is>
      </c>
      <c r="E4" s="49" t="inlineStr">
        <is>
          <t>SP</t>
        </is>
      </c>
      <c r="N4" s="16" t="inlineStr">
        <is>
          <t>EFD 102021.TXT</t>
        </is>
      </c>
    </row>
    <row r="5">
      <c r="A5" s="48" t="inlineStr">
        <is>
          <t>03022008001380</t>
        </is>
      </c>
      <c r="B5" s="15" t="n">
        <v>102021</v>
      </c>
      <c r="C5" s="48" t="inlineStr">
        <is>
          <t>03022008001380</t>
        </is>
      </c>
      <c r="D5" s="16" t="inlineStr">
        <is>
          <t>TROUW NUTRITION BRASIL NUTRICAO LTDA|</t>
        </is>
      </c>
      <c r="E5" s="49" t="inlineStr">
        <is>
          <t>SP</t>
        </is>
      </c>
      <c r="N5" s="16" t="inlineStr">
        <is>
          <t>EFD 102021.TXT</t>
        </is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pane ySplit="2" topLeftCell="A3" activePane="bottomLeft" state="frozen"/>
      <selection pane="bottomLeft" activeCell="A5" sqref="A5"/>
    </sheetView>
  </sheetViews>
  <sheetFormatPr baseColWidth="8" defaultRowHeight="15.75"/>
  <cols>
    <col width="21.7109375" bestFit="1" customWidth="1" style="38" min="1" max="1"/>
    <col width="11.85546875" bestFit="1" customWidth="1" style="38" min="2" max="2"/>
    <col width="13.7109375" bestFit="1" customWidth="1" style="38" min="3" max="3"/>
    <col width="39.5703125" bestFit="1" customWidth="1" style="38" min="4" max="4"/>
    <col width="12.85546875" bestFit="1" customWidth="1" style="38" min="5" max="5"/>
    <col width="21.7109375" bestFit="1" customWidth="1" style="38" min="6" max="6"/>
    <col width="5.7109375" bestFit="1" customWidth="1" style="38" min="7" max="7"/>
    <col width="3.42578125" bestFit="1" customWidth="1" style="38" min="8" max="8"/>
    <col width="13.140625" bestFit="1" customWidth="1" style="38" min="9" max="9"/>
    <col width="12.42578125" bestFit="1" customWidth="1" style="38" min="10" max="10"/>
    <col width="23.28515625" bestFit="1" customWidth="1" style="38" min="11" max="11"/>
    <col width="6.7109375" bestFit="1" customWidth="1" style="38" min="12" max="12"/>
    <col width="9.5703125" bestFit="1" customWidth="1" style="38" min="13" max="13"/>
    <col width="10.140625" bestFit="1" customWidth="1" style="38" min="14" max="14"/>
    <col width="9.140625" customWidth="1" style="38" min="15" max="16384"/>
  </cols>
  <sheetData>
    <row r="1" ht="30" customHeight="1" s="43">
      <c r="A1" s="37" t="inlineStr">
        <is>
          <t>EFD CONTRIBUIÇÕES  |  0150  –  Cadastro de Participantes</t>
        </is>
      </c>
    </row>
    <row r="2" ht="36" customHeight="1" s="43">
      <c r="A2" s="12" t="inlineStr">
        <is>
          <t>CNPJ_ESTAB</t>
        </is>
      </c>
      <c r="B2" s="12" t="inlineStr">
        <is>
          <t>PERÍODO
(MMAAAA)</t>
        </is>
      </c>
      <c r="C2" s="13" t="inlineStr">
        <is>
          <t>COD_PART</t>
        </is>
      </c>
      <c r="D2" s="13" t="inlineStr">
        <is>
          <t>NOME</t>
        </is>
      </c>
      <c r="E2" s="13" t="inlineStr">
        <is>
          <t>COD_PAIS</t>
        </is>
      </c>
      <c r="F2" s="13" t="inlineStr">
        <is>
          <t>CNPJ</t>
        </is>
      </c>
      <c r="G2" s="13" t="inlineStr">
        <is>
          <t>CPF</t>
        </is>
      </c>
      <c r="H2" s="13" t="inlineStr">
        <is>
          <t>IE</t>
        </is>
      </c>
      <c r="I2" s="13" t="inlineStr">
        <is>
          <t>COD_MUN</t>
        </is>
      </c>
      <c r="J2" s="13" t="inlineStr">
        <is>
          <t>SUFRAMA</t>
        </is>
      </c>
      <c r="K2" s="13" t="inlineStr">
        <is>
          <t>END</t>
        </is>
      </c>
      <c r="L2" s="13" t="inlineStr">
        <is>
          <t>NUM</t>
        </is>
      </c>
      <c r="M2" s="13" t="inlineStr">
        <is>
          <t>COMPL</t>
        </is>
      </c>
      <c r="N2" s="13" t="inlineStr">
        <is>
          <t>BAIRRO</t>
        </is>
      </c>
    </row>
    <row r="3">
      <c r="A3" s="48" t="inlineStr">
        <is>
          <t>03022008001038</t>
        </is>
      </c>
      <c r="B3" s="15" t="n">
        <v>102021</v>
      </c>
      <c r="C3" s="48" t="inlineStr">
        <is>
          <t xml:space="preserve">167664    </t>
        </is>
      </c>
      <c r="D3" s="48" t="inlineStr">
        <is>
          <t>Assoc Matogrossense D T U</t>
        </is>
      </c>
      <c r="E3" s="48" t="inlineStr">
        <is>
          <t>1058</t>
        </is>
      </c>
      <c r="F3" s="48" t="inlineStr">
        <is>
          <t>24671422000157</t>
        </is>
      </c>
      <c r="G3" s="17" t="n"/>
      <c r="H3" s="17" t="n"/>
      <c r="I3" s="17" t="n"/>
      <c r="J3" s="17" t="n"/>
      <c r="K3" s="17" t="n"/>
      <c r="L3" s="17" t="n"/>
      <c r="M3" s="17" t="n"/>
      <c r="N3" s="17" t="n"/>
    </row>
    <row r="4">
      <c r="A4" s="48" t="inlineStr">
        <is>
          <t>03022008000147</t>
        </is>
      </c>
      <c r="B4" s="15" t="n">
        <v>102021</v>
      </c>
      <c r="C4" s="48" t="inlineStr">
        <is>
          <t xml:space="preserve">167806    </t>
        </is>
      </c>
      <c r="D4" s="48" t="inlineStr">
        <is>
          <t>Interior Recursos Humanos Ltda - Me</t>
        </is>
      </c>
      <c r="E4" s="48" t="inlineStr">
        <is>
          <t>1058</t>
        </is>
      </c>
      <c r="F4" s="48" t="inlineStr">
        <is>
          <t>02845779000171</t>
        </is>
      </c>
    </row>
    <row r="5">
      <c r="A5" s="48" t="inlineStr">
        <is>
          <t>03022008001038</t>
        </is>
      </c>
      <c r="B5" s="15" t="n">
        <v>102021</v>
      </c>
      <c r="C5" s="48" t="inlineStr">
        <is>
          <t xml:space="preserve">169361    </t>
        </is>
      </c>
      <c r="D5" s="48" t="inlineStr">
        <is>
          <t>Protecta Tecnologia E C D P Ltda Me</t>
        </is>
      </c>
      <c r="E5" s="48" t="inlineStr">
        <is>
          <t>1058</t>
        </is>
      </c>
      <c r="F5" s="48" t="inlineStr">
        <is>
          <t>09539399000158</t>
        </is>
      </c>
    </row>
    <row r="6">
      <c r="A6" s="48" t="inlineStr">
        <is>
          <t>03022008001380</t>
        </is>
      </c>
      <c r="B6" s="15" t="n">
        <v>102021</v>
      </c>
      <c r="C6" s="48" t="inlineStr">
        <is>
          <t xml:space="preserve">212860    </t>
        </is>
      </c>
      <c r="D6" s="48" t="inlineStr">
        <is>
          <t>Safe Water Brasil Ltda Epp</t>
        </is>
      </c>
      <c r="E6" s="48" t="inlineStr">
        <is>
          <t>1058</t>
        </is>
      </c>
      <c r="F6" s="48" t="inlineStr">
        <is>
          <t>15766003000108</t>
        </is>
      </c>
    </row>
    <row r="7">
      <c r="A7" s="48" t="inlineStr">
        <is>
          <t>03022008001038</t>
        </is>
      </c>
      <c r="B7" s="15" t="n">
        <v>102021</v>
      </c>
      <c r="C7" s="48" t="inlineStr">
        <is>
          <t xml:space="preserve">170741    </t>
        </is>
      </c>
      <c r="D7" s="48" t="inlineStr">
        <is>
          <t>Anderson Amorim Da Silva 01328873129</t>
        </is>
      </c>
      <c r="E7" s="48" t="inlineStr">
        <is>
          <t>1058</t>
        </is>
      </c>
      <c r="F7" s="48" t="inlineStr">
        <is>
          <t>17399458000168</t>
        </is>
      </c>
    </row>
    <row r="8">
      <c r="A8" s="48" t="inlineStr">
        <is>
          <t>03022008001038</t>
        </is>
      </c>
      <c r="B8" s="15" t="n">
        <v>102021</v>
      </c>
      <c r="C8" s="48" t="inlineStr">
        <is>
          <t xml:space="preserve">167821    </t>
        </is>
      </c>
      <c r="D8" s="48" t="inlineStr">
        <is>
          <t>Videojet Do B C E P Codif Ind 000146</t>
        </is>
      </c>
      <c r="E8" s="48" t="inlineStr">
        <is>
          <t>1058</t>
        </is>
      </c>
      <c r="F8" s="48" t="inlineStr">
        <is>
          <t>00028876000146</t>
        </is>
      </c>
    </row>
    <row r="9">
      <c r="A9" s="48" t="inlineStr">
        <is>
          <t>03022008001038</t>
        </is>
      </c>
      <c r="B9" s="15" t="n">
        <v>102021</v>
      </c>
      <c r="C9" s="48" t="inlineStr">
        <is>
          <t xml:space="preserve">228875    </t>
        </is>
      </c>
      <c r="D9" s="48" t="inlineStr">
        <is>
          <t>Transcacula Col de Residuos Eireli</t>
        </is>
      </c>
      <c r="E9" s="48" t="inlineStr">
        <is>
          <t>1058</t>
        </is>
      </c>
      <c r="F9" s="48" t="inlineStr">
        <is>
          <t>40601937000137</t>
        </is>
      </c>
    </row>
    <row r="10">
      <c r="A10" s="48" t="inlineStr">
        <is>
          <t>03022008001380</t>
        </is>
      </c>
      <c r="B10" s="15" t="n">
        <v>102021</v>
      </c>
      <c r="C10" s="48" t="inlineStr">
        <is>
          <t xml:space="preserve">166643    </t>
        </is>
      </c>
      <c r="D10" s="48" t="inlineStr">
        <is>
          <t>Centro De Int E Escola Ciee 000155</t>
        </is>
      </c>
      <c r="E10" s="48" t="inlineStr">
        <is>
          <t>1058</t>
        </is>
      </c>
      <c r="F10" s="48" t="inlineStr">
        <is>
          <t>61600839000155</t>
        </is>
      </c>
    </row>
  </sheetData>
  <mergeCells count="1"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2" topLeftCell="A3" activePane="bottomLeft" state="frozen"/>
      <selection pane="bottomLeft" activeCell="A1" sqref="A1:XFD1048576"/>
    </sheetView>
  </sheetViews>
  <sheetFormatPr baseColWidth="8" defaultRowHeight="15.75"/>
  <cols>
    <col width="17.28515625" bestFit="1" customWidth="1" style="38" min="1" max="1"/>
    <col width="11" bestFit="1" customWidth="1" style="38" min="2" max="2"/>
    <col width="5.85546875" bestFit="1" customWidth="1" style="38" min="3" max="3"/>
    <col width="8.7109375" bestFit="1" customWidth="1" style="38" min="4" max="4"/>
    <col width="9.140625" customWidth="1" style="38" min="5" max="16384"/>
  </cols>
  <sheetData>
    <row r="1" ht="30" customHeight="1" s="43">
      <c r="A1" s="37" t="inlineStr">
        <is>
          <t>EFD CONTRIBUIÇÕES  |  0190  –  Unidades de Medida</t>
        </is>
      </c>
    </row>
    <row r="2" ht="36" customHeight="1" s="43">
      <c r="A2" s="12" t="inlineStr">
        <is>
          <t>CNPJ_ESTAB</t>
        </is>
      </c>
      <c r="B2" s="12" t="inlineStr">
        <is>
          <t>PERÍODO
(MMAAAA)</t>
        </is>
      </c>
      <c r="C2" s="13" t="inlineStr">
        <is>
          <t>UNID</t>
        </is>
      </c>
      <c r="D2" s="13" t="inlineStr">
        <is>
          <t>DESCR</t>
        </is>
      </c>
    </row>
    <row r="3">
      <c r="A3" s="14" t="inlineStr">
        <is>
          <t>00000000000000</t>
        </is>
      </c>
      <c r="B3" s="15" t="inlineStr">
        <is>
          <t>012024</t>
        </is>
      </c>
      <c r="C3" s="16" t="inlineStr">
        <is>
          <t>UN</t>
        </is>
      </c>
      <c r="D3" s="16" t="inlineStr">
        <is>
          <t>Unidade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2" topLeftCell="A3" activePane="bottomLeft" state="frozen"/>
      <selection pane="bottomLeft" activeCell="F18" sqref="F18"/>
    </sheetView>
  </sheetViews>
  <sheetFormatPr baseColWidth="8" defaultRowHeight="15.75"/>
  <cols>
    <col width="17.28515625" bestFit="1" customWidth="1" style="38" min="1" max="1"/>
    <col width="11" bestFit="1" customWidth="1" style="38" min="2" max="2"/>
    <col width="10.7109375" bestFit="1" customWidth="1" style="38" min="3" max="3"/>
    <col width="45.28515625" bestFit="1" customWidth="1" style="38" min="4" max="4"/>
    <col width="12.7109375" bestFit="1" customWidth="1" style="38" min="5" max="5"/>
    <col width="7.28515625" bestFit="1" customWidth="1" style="38" min="6" max="6"/>
    <col width="9" bestFit="1" customWidth="1" style="38" min="7" max="7"/>
    <col width="9.140625" bestFit="1" customWidth="1" style="38" min="8" max="8"/>
    <col width="4.85546875" bestFit="1" customWidth="1" style="38" min="9" max="9"/>
    <col width="5.85546875" bestFit="1" customWidth="1" style="38" min="10" max="10"/>
    <col width="7.28515625" bestFit="1" customWidth="1" style="38" min="11" max="11"/>
    <col width="6.85546875" bestFit="1" customWidth="1" style="38" min="12" max="12"/>
    <col width="9.140625" customWidth="1" style="38" min="13" max="16384"/>
  </cols>
  <sheetData>
    <row r="1" ht="30" customHeight="1" s="43">
      <c r="A1" s="37" t="inlineStr">
        <is>
          <t>EFD CONTRIBUIÇÕES  |  0200  –  Tabela de Itens (Produtos e Serviços)</t>
        </is>
      </c>
    </row>
    <row r="2" ht="36" customHeight="1" s="43">
      <c r="A2" s="12" t="inlineStr">
        <is>
          <t>CNPJ_ESTAB</t>
        </is>
      </c>
      <c r="B2" s="12" t="inlineStr">
        <is>
          <t>PERÍODO
(MMAAAA)</t>
        </is>
      </c>
      <c r="C2" s="13" t="inlineStr">
        <is>
          <t>COD_ITEM</t>
        </is>
      </c>
      <c r="D2" s="13" t="inlineStr">
        <is>
          <t>DESCR_ITEM</t>
        </is>
      </c>
      <c r="E2" s="13" t="inlineStr">
        <is>
          <t>COD_BARRA</t>
        </is>
      </c>
      <c r="F2" s="13" t="inlineStr">
        <is>
          <t>UNID_INV</t>
        </is>
      </c>
      <c r="G2" s="13" t="inlineStr">
        <is>
          <t>TIPO_ITEM</t>
        </is>
      </c>
      <c r="H2" s="13" t="inlineStr">
        <is>
          <t>COD_NCM</t>
        </is>
      </c>
      <c r="I2" s="13" t="inlineStr">
        <is>
          <t>EX_IPI</t>
        </is>
      </c>
      <c r="J2" s="13" t="inlineStr">
        <is>
          <t>COD_GEN</t>
        </is>
      </c>
      <c r="K2" s="13" t="inlineStr">
        <is>
          <t>COD_LST</t>
        </is>
      </c>
      <c r="L2" s="13" t="inlineStr">
        <is>
          <t>ALIQ_ICMS</t>
        </is>
      </c>
    </row>
    <row r="3">
      <c r="A3" s="18" t="inlineStr">
        <is>
          <t>03022008001038</t>
        </is>
      </c>
      <c r="B3" s="15" t="n">
        <v>102021</v>
      </c>
      <c r="C3" s="16" t="inlineStr">
        <is>
          <t>SERV001</t>
        </is>
      </c>
      <c r="D3" s="19" t="inlineStr">
        <is>
          <t>Benefícios da folha de pagamento</t>
        </is>
      </c>
      <c r="E3" s="17" t="n"/>
      <c r="F3" s="16" t="n"/>
      <c r="G3" s="20" t="inlineStr">
        <is>
          <t>09</t>
        </is>
      </c>
      <c r="H3" s="17" t="n"/>
      <c r="I3" s="17" t="n"/>
      <c r="J3" s="17" t="n"/>
      <c r="K3" s="17" t="n"/>
      <c r="L3" s="17" t="n"/>
    </row>
    <row r="4">
      <c r="A4" s="18" t="inlineStr">
        <is>
          <t>03022008000147</t>
        </is>
      </c>
      <c r="B4" s="15" t="n">
        <v>102021</v>
      </c>
      <c r="C4" s="16" t="inlineStr">
        <is>
          <t>SERV002</t>
        </is>
      </c>
      <c r="D4" s="19" t="inlineStr">
        <is>
          <t>Pessoal temporário - agências</t>
        </is>
      </c>
      <c r="G4" s="20" t="inlineStr">
        <is>
          <t>09</t>
        </is>
      </c>
    </row>
    <row r="5">
      <c r="A5" s="18" t="inlineStr">
        <is>
          <t>03022008001038</t>
        </is>
      </c>
      <c r="B5" s="15" t="n">
        <v>102021</v>
      </c>
      <c r="C5" s="16" t="inlineStr">
        <is>
          <t>SERV003</t>
        </is>
      </c>
      <c r="D5" s="19" t="inlineStr">
        <is>
          <t>TFM - Outros</t>
        </is>
      </c>
      <c r="G5" s="20" t="inlineStr">
        <is>
          <t>09</t>
        </is>
      </c>
    </row>
    <row r="6">
      <c r="A6" s="18" t="inlineStr">
        <is>
          <t>03022008001380</t>
        </is>
      </c>
      <c r="B6" s="15" t="n">
        <v>102021</v>
      </c>
      <c r="C6" s="16" t="inlineStr">
        <is>
          <t>SERV004</t>
        </is>
      </c>
      <c r="D6" s="19" t="inlineStr">
        <is>
          <t>Serviços de Tecnologia - Controle de Processos</t>
        </is>
      </c>
      <c r="G6" s="20" t="inlineStr">
        <is>
          <t>09</t>
        </is>
      </c>
    </row>
    <row r="7">
      <c r="A7" s="18" t="inlineStr">
        <is>
          <t>03022008001038</t>
        </is>
      </c>
      <c r="B7" s="15" t="n">
        <v>102021</v>
      </c>
      <c r="C7" s="16" t="inlineStr">
        <is>
          <t>SERV005</t>
        </is>
      </c>
      <c r="D7" s="19" t="inlineStr">
        <is>
          <t>Benefícios da folha de pagamento</t>
        </is>
      </c>
      <c r="G7" s="20" t="inlineStr">
        <is>
          <t>09</t>
        </is>
      </c>
    </row>
    <row r="8">
      <c r="A8" s="18" t="inlineStr">
        <is>
          <t>03022008001038</t>
        </is>
      </c>
      <c r="B8" s="15" t="n">
        <v>102021</v>
      </c>
      <c r="C8" s="16" t="inlineStr">
        <is>
          <t>SERV006</t>
        </is>
      </c>
      <c r="D8" s="19" t="inlineStr">
        <is>
          <t>TFM - Serviços de instalações</t>
        </is>
      </c>
      <c r="G8" s="20" t="inlineStr">
        <is>
          <t>09</t>
        </is>
      </c>
    </row>
    <row r="9">
      <c r="A9" s="18" t="inlineStr">
        <is>
          <t>03022008001038</t>
        </is>
      </c>
      <c r="B9" s="15" t="n">
        <v>102021</v>
      </c>
      <c r="C9" s="16" t="inlineStr">
        <is>
          <t>SERV007</t>
        </is>
      </c>
      <c r="D9" s="19" t="inlineStr">
        <is>
          <t>Aluguel e Leasing - Equipamentos</t>
        </is>
      </c>
      <c r="G9" s="20" t="inlineStr">
        <is>
          <t>09</t>
        </is>
      </c>
    </row>
    <row r="10">
      <c r="A10" s="18" t="inlineStr">
        <is>
          <t>03022008001038</t>
        </is>
      </c>
      <c r="B10" s="15" t="n">
        <v>102021</v>
      </c>
      <c r="C10" s="16" t="inlineStr">
        <is>
          <t>SERV008</t>
        </is>
      </c>
      <c r="D10" s="19" t="inlineStr">
        <is>
          <t>Gestão de resíduos</t>
        </is>
      </c>
      <c r="G10" s="20" t="inlineStr">
        <is>
          <t>09</t>
        </is>
      </c>
    </row>
    <row r="11">
      <c r="A11" s="18" t="inlineStr">
        <is>
          <t>03022008001380</t>
        </is>
      </c>
      <c r="B11" s="15" t="n">
        <v>102021</v>
      </c>
      <c r="C11" s="16" t="inlineStr">
        <is>
          <t>SERV009</t>
        </is>
      </c>
      <c r="D11" s="19" t="inlineStr">
        <is>
          <t>Pessoal temporário - agências</t>
        </is>
      </c>
      <c r="G11" s="20" t="inlineStr">
        <is>
          <t>09</t>
        </is>
      </c>
    </row>
    <row r="12">
      <c r="A12" s="18" t="inlineStr">
        <is>
          <t>03022008001380</t>
        </is>
      </c>
      <c r="B12" s="15" t="n">
        <v>102021</v>
      </c>
      <c r="C12" s="16" t="inlineStr">
        <is>
          <t>SERV010</t>
        </is>
      </c>
      <c r="D12" s="19" t="inlineStr">
        <is>
          <t>Pessoal temporário - agências</t>
        </is>
      </c>
      <c r="G12" s="20" t="inlineStr">
        <is>
          <t>09</t>
        </is>
      </c>
    </row>
    <row r="13">
      <c r="A13" s="18" t="inlineStr">
        <is>
          <t>03022008001380</t>
        </is>
      </c>
      <c r="B13" s="15" t="n">
        <v>102021</v>
      </c>
      <c r="C13" s="16" t="inlineStr">
        <is>
          <t>SERV011</t>
        </is>
      </c>
      <c r="D13" s="19" t="inlineStr">
        <is>
          <t>Pessoal temporário - agências</t>
        </is>
      </c>
      <c r="G13" s="20" t="inlineStr">
        <is>
          <t>09</t>
        </is>
      </c>
    </row>
    <row r="14">
      <c r="A14" s="18" t="inlineStr">
        <is>
          <t>03022008001380</t>
        </is>
      </c>
      <c r="B14" s="15" t="n">
        <v>102021</v>
      </c>
      <c r="C14" s="16" t="inlineStr">
        <is>
          <t>SERV012</t>
        </is>
      </c>
      <c r="D14" s="19" t="inlineStr">
        <is>
          <t>Pessoal temporário - agências</t>
        </is>
      </c>
      <c r="G14" s="20" t="inlineStr">
        <is>
          <t>09</t>
        </is>
      </c>
    </row>
    <row r="15">
      <c r="A15" s="18" t="inlineStr">
        <is>
          <t>03022008001380</t>
        </is>
      </c>
      <c r="B15" s="15" t="n">
        <v>102021</v>
      </c>
      <c r="C15" s="16" t="inlineStr">
        <is>
          <t>SERV013</t>
        </is>
      </c>
      <c r="D15" s="19" t="inlineStr">
        <is>
          <t>Pessoal temporário - agências</t>
        </is>
      </c>
      <c r="G15" s="20" t="inlineStr">
        <is>
          <t>09</t>
        </is>
      </c>
    </row>
    <row r="16">
      <c r="A16" s="18" t="inlineStr">
        <is>
          <t>03022008001380</t>
        </is>
      </c>
      <c r="B16" s="15" t="n">
        <v>102021</v>
      </c>
      <c r="C16" s="16" t="inlineStr">
        <is>
          <t>SERV014</t>
        </is>
      </c>
      <c r="D16" s="19" t="inlineStr">
        <is>
          <t>Pessoal temporário - agências</t>
        </is>
      </c>
      <c r="G16" s="20" t="inlineStr">
        <is>
          <t>09</t>
        </is>
      </c>
    </row>
    <row r="17">
      <c r="A17" s="18" t="inlineStr">
        <is>
          <t>03022008001380</t>
        </is>
      </c>
      <c r="B17" s="15" t="n">
        <v>102021</v>
      </c>
      <c r="C17" s="16" t="inlineStr">
        <is>
          <t>SERV015</t>
        </is>
      </c>
      <c r="D17" s="19" t="inlineStr">
        <is>
          <t>Pessoal temporário - agências</t>
        </is>
      </c>
      <c r="G17" s="20" t="inlineStr">
        <is>
          <t>09</t>
        </is>
      </c>
    </row>
    <row r="18">
      <c r="A18" s="18" t="inlineStr">
        <is>
          <t>03022008001380</t>
        </is>
      </c>
      <c r="B18" s="15" t="n">
        <v>102021</v>
      </c>
      <c r="C18" s="16" t="inlineStr">
        <is>
          <t>SERV016</t>
        </is>
      </c>
      <c r="D18" s="19" t="inlineStr">
        <is>
          <t>Pessoal temporário - agências</t>
        </is>
      </c>
      <c r="G18" s="20" t="inlineStr">
        <is>
          <t>09</t>
        </is>
      </c>
    </row>
    <row r="19">
      <c r="A19" s="18" t="inlineStr">
        <is>
          <t>03022008001380</t>
        </is>
      </c>
      <c r="B19" s="15" t="n">
        <v>102021</v>
      </c>
      <c r="C19" s="16" t="inlineStr">
        <is>
          <t>SERV017</t>
        </is>
      </c>
      <c r="D19" s="19" t="inlineStr">
        <is>
          <t>Pessoal temporário - agências</t>
        </is>
      </c>
      <c r="G19" s="20" t="inlineStr">
        <is>
          <t>09</t>
        </is>
      </c>
    </row>
    <row r="20">
      <c r="A20" s="18" t="inlineStr">
        <is>
          <t>03022008001380</t>
        </is>
      </c>
      <c r="B20" s="15" t="n">
        <v>102021</v>
      </c>
      <c r="C20" s="16" t="inlineStr">
        <is>
          <t>SERV018</t>
        </is>
      </c>
      <c r="D20" s="19" t="inlineStr">
        <is>
          <t>Pessoal temporário - agências</t>
        </is>
      </c>
      <c r="G20" s="20" t="inlineStr">
        <is>
          <t>09</t>
        </is>
      </c>
    </row>
    <row r="21">
      <c r="A21" s="18" t="inlineStr">
        <is>
          <t>03022008001380</t>
        </is>
      </c>
      <c r="B21" s="15" t="n">
        <v>102021</v>
      </c>
      <c r="C21" s="16" t="inlineStr">
        <is>
          <t>SERV019</t>
        </is>
      </c>
      <c r="D21" s="19" t="inlineStr">
        <is>
          <t>Pessoal temporário - agências</t>
        </is>
      </c>
      <c r="G21" s="20" t="inlineStr">
        <is>
          <t>09</t>
        </is>
      </c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2" topLeftCell="A3" activePane="bottomLeft" state="frozen"/>
      <selection pane="bottomLeft" activeCell="C11" sqref="C11"/>
    </sheetView>
  </sheetViews>
  <sheetFormatPr baseColWidth="8" defaultRowHeight="15.75"/>
  <cols>
    <col width="12" customWidth="1" style="38" min="1" max="1"/>
    <col width="14" customWidth="1" style="38" min="2" max="2"/>
    <col width="45" customWidth="1" style="38" min="3" max="3"/>
    <col width="9.140625" customWidth="1" style="38" min="4" max="16384"/>
  </cols>
  <sheetData>
    <row r="1" ht="30" customHeight="1" s="43">
      <c r="A1" s="37" t="inlineStr">
        <is>
          <t>EFD CONTRIBUIÇÕES  |  0400  –  Naturezas de Receita  ★ base cadastral geral</t>
        </is>
      </c>
    </row>
    <row r="2" ht="36" customHeight="1" s="43">
      <c r="A2" s="12" t="inlineStr">
        <is>
          <t>PERÍODO
(MMAAAA)</t>
        </is>
      </c>
      <c r="B2" s="13" t="inlineStr">
        <is>
          <t>COD_NAT_REC</t>
        </is>
      </c>
      <c r="C2" s="13" t="inlineStr">
        <is>
          <t>DESCR_NAT_REC</t>
        </is>
      </c>
    </row>
    <row r="3">
      <c r="A3" s="15" t="inlineStr">
        <is>
          <t>012024</t>
        </is>
      </c>
      <c r="B3" s="16" t="inlineStr">
        <is>
          <t>101</t>
        </is>
      </c>
      <c r="C3" s="16" t="inlineStr">
        <is>
          <t>Receita de venda de bens e/ou serviços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22"/>
  <sheetViews>
    <sheetView showGridLines="0" workbookViewId="0">
      <pane ySplit="3" topLeftCell="A4" activePane="bottomLeft" state="frozen"/>
      <selection pane="bottomLeft" activeCell="N22" sqref="N22"/>
    </sheetView>
  </sheetViews>
  <sheetFormatPr baseColWidth="8" defaultRowHeight="15.75"/>
  <cols>
    <col width="17.28515625" bestFit="1" customWidth="1" style="38" min="1" max="1"/>
    <col width="11" bestFit="1" customWidth="1" style="38" min="2" max="2"/>
    <col width="6.85546875" bestFit="1" customWidth="1" style="38" min="3" max="3"/>
    <col width="6.42578125" bestFit="1" customWidth="1" style="38" min="4" max="4"/>
    <col width="20.85546875" bestFit="1" customWidth="1" style="38" min="5" max="5"/>
    <col width="11" bestFit="1" customWidth="1" style="38" min="6" max="6"/>
    <col width="7.5703125" bestFit="1" customWidth="1" style="38" min="7" max="7"/>
    <col width="4.7109375" bestFit="1" customWidth="1" style="38" min="8" max="8"/>
    <col width="5" bestFit="1" customWidth="1" style="38" min="9" max="9"/>
    <col width="10.85546875" bestFit="1" customWidth="1" style="38" min="10" max="10"/>
    <col width="10.42578125" bestFit="1" customWidth="1" style="38" min="11" max="11"/>
    <col width="11.5703125" bestFit="1" customWidth="1" style="38" min="12" max="13"/>
    <col width="8" customWidth="1" style="38" min="14" max="14"/>
    <col width="10" bestFit="1" customWidth="1" style="38" min="15" max="15"/>
    <col width="8" customWidth="1" style="38" min="16" max="16"/>
    <col width="8.85546875" bestFit="1" customWidth="1" style="38" min="17" max="17"/>
    <col width="9.42578125" bestFit="1" customWidth="1" style="38" min="18" max="18"/>
    <col width="10.85546875" bestFit="1" customWidth="1" style="38" min="19" max="19"/>
    <col width="9.42578125" bestFit="1" customWidth="1" style="38" min="20" max="20"/>
    <col width="8.85546875" bestFit="1" customWidth="1" style="38" min="21" max="21"/>
    <col width="14" customWidth="1" style="38" min="22" max="22"/>
    <col width="9.28515625" bestFit="1" customWidth="1" style="38" min="23" max="23"/>
    <col width="11.5703125" bestFit="1" customWidth="1" style="38" min="24" max="24"/>
    <col width="8" customWidth="1" style="38" min="25" max="25"/>
    <col width="10.7109375" bestFit="1" customWidth="1" style="38" min="26" max="26"/>
    <col width="15.5703125" bestFit="1" customWidth="1" style="38" min="27" max="27"/>
    <col width="11.5703125" bestFit="1" customWidth="1" style="38" min="28" max="28"/>
    <col width="11.85546875" bestFit="1" customWidth="1" style="38" min="29" max="29"/>
    <col width="9.140625" bestFit="1" customWidth="1" style="38" min="30" max="30"/>
    <col width="8.7109375" bestFit="1" customWidth="1" style="38" min="31" max="31"/>
    <col width="7.42578125" bestFit="1" customWidth="1" style="38" min="32" max="32"/>
    <col width="13.42578125" bestFit="1" customWidth="1" style="38" min="33" max="33"/>
    <col width="9.42578125" bestFit="1" customWidth="1" style="38" min="34" max="34"/>
    <col width="10.85546875" bestFit="1" customWidth="1" style="38" min="35" max="35"/>
    <col width="7" bestFit="1" customWidth="1" style="38" min="36" max="36"/>
    <col width="14" customWidth="1" style="38" min="37" max="37"/>
    <col width="10.42578125" bestFit="1" customWidth="1" style="38" min="38" max="38"/>
    <col width="11.5703125" bestFit="1" customWidth="1" style="38" min="39" max="39"/>
    <col width="13.7109375" bestFit="1" customWidth="1" style="38" min="40" max="40"/>
    <col width="11.85546875" bestFit="1" customWidth="1" style="38" min="41" max="41"/>
    <col width="9.140625" customWidth="1" style="38" min="42" max="16384"/>
  </cols>
  <sheetData>
    <row r="1" ht="30" customHeight="1" s="43">
      <c r="A1" s="37" t="inlineStr">
        <is>
          <t>EFD CONTRIBUIÇÕES  |  A100 + A170  –  NFS-e + Itens  |  1 linha = 1 item  |  Campos CINZA calculados pelo script</t>
        </is>
      </c>
    </row>
    <row r="2" ht="18" customHeight="1" s="43">
      <c r="A2" s="37" t="inlineStr">
        <is>
          <t>IDENTIFICAÇÃO</t>
        </is>
      </c>
      <c r="C2" s="40" t="inlineStr">
        <is>
          <t>◆ A100 – CABEÇALHO (preencher)</t>
        </is>
      </c>
      <c r="Q2" s="39" t="inlineStr">
        <is>
          <t>◆ A100 – TOTAIS (script)</t>
        </is>
      </c>
      <c r="Y2" s="41" t="inlineStr">
        <is>
          <t>◆ A170 – ITEM (preencher)</t>
        </is>
      </c>
    </row>
    <row r="3" ht="39.95" customHeight="1" s="43">
      <c r="A3" s="12" t="inlineStr">
        <is>
          <t>CNPJ_ESTAB</t>
        </is>
      </c>
      <c r="B3" s="12" t="inlineStr">
        <is>
          <t>PERÍODO
(MMAAAA)</t>
        </is>
      </c>
      <c r="C3" s="13" t="inlineStr">
        <is>
          <t>IND_OPER</t>
        </is>
      </c>
      <c r="D3" s="13" t="inlineStr">
        <is>
          <t>IND_EMIT</t>
        </is>
      </c>
      <c r="E3" s="13" t="inlineStr">
        <is>
          <t>COD_PART
(Fornecedor/Cliente)</t>
        </is>
      </c>
      <c r="F3" s="13" t="inlineStr">
        <is>
          <t>COD_MOD</t>
        </is>
      </c>
      <c r="G3" s="13" t="inlineStr">
        <is>
          <t>COD_SIT</t>
        </is>
      </c>
      <c r="H3" s="13" t="inlineStr">
        <is>
          <t>SER</t>
        </is>
      </c>
      <c r="I3" s="13" t="inlineStr">
        <is>
          <t>SUB</t>
        </is>
      </c>
      <c r="J3" s="13" t="inlineStr">
        <is>
          <t>NUM_DOC</t>
        </is>
      </c>
      <c r="K3" s="13" t="inlineStr">
        <is>
          <t>CHV_DOC</t>
        </is>
      </c>
      <c r="L3" s="13" t="inlineStr">
        <is>
          <t>DT_DOC</t>
        </is>
      </c>
      <c r="M3" s="13" t="inlineStr">
        <is>
          <t>DT_EXE_SERV</t>
        </is>
      </c>
      <c r="N3" s="13" t="inlineStr">
        <is>
          <t>IND_PGTO</t>
        </is>
      </c>
      <c r="O3" s="13" t="inlineStr">
        <is>
          <t>COD_CTA</t>
        </is>
      </c>
      <c r="P3" s="13" t="inlineStr">
        <is>
          <t>COD_MUN</t>
        </is>
      </c>
      <c r="Q3" s="32" t="inlineStr">
        <is>
          <t>VL_DOC</t>
        </is>
      </c>
      <c r="R3" s="32" t="inlineStr">
        <is>
          <t>VL_DESC</t>
        </is>
      </c>
      <c r="S3" s="32" t="inlineStr">
        <is>
          <t>VL_BC_PIS</t>
        </is>
      </c>
      <c r="T3" s="32" t="inlineStr">
        <is>
          <t>ALIQ_PIS</t>
        </is>
      </c>
      <c r="U3" s="32" t="inlineStr">
        <is>
          <t>VL_PIS</t>
        </is>
      </c>
      <c r="V3" s="32" t="inlineStr">
        <is>
          <t>VL_BC_COFINS</t>
        </is>
      </c>
      <c r="W3" s="32" t="inlineStr">
        <is>
          <t>ALIQ_COFINS</t>
        </is>
      </c>
      <c r="X3" s="32" t="inlineStr">
        <is>
          <t>VL_COFINS</t>
        </is>
      </c>
      <c r="Y3" s="33" t="inlineStr">
        <is>
          <t>NUM_ITEM</t>
        </is>
      </c>
      <c r="Z3" s="33" t="inlineStr">
        <is>
          <t>COD_ITEM</t>
        </is>
      </c>
      <c r="AA3" s="33" t="inlineStr">
        <is>
          <t>DESCR_COMPL</t>
        </is>
      </c>
      <c r="AB3" s="33" t="inlineStr">
        <is>
          <t>VL_ITEM</t>
        </is>
      </c>
      <c r="AC3" s="33" t="inlineStr">
        <is>
          <t>VL_DESC_ITEM</t>
        </is>
      </c>
      <c r="AD3" s="33" t="inlineStr">
        <is>
          <t>NAT_BC_CRED</t>
        </is>
      </c>
      <c r="AE3" s="33" t="inlineStr">
        <is>
          <t>IND_ORIG_CRED</t>
        </is>
      </c>
      <c r="AF3" s="33" t="inlineStr">
        <is>
          <t>CST_PIS</t>
        </is>
      </c>
      <c r="AG3" s="33" t="inlineStr">
        <is>
          <t>VL_BC_PIS_ITEM</t>
        </is>
      </c>
      <c r="AH3" s="33" t="inlineStr">
        <is>
          <t>ALIQ_PIS_ITEM</t>
        </is>
      </c>
      <c r="AI3" s="33" t="inlineStr">
        <is>
          <t>VL_PIS_ITEM</t>
        </is>
      </c>
      <c r="AJ3" s="33" t="inlineStr">
        <is>
          <t>CST_COFINS</t>
        </is>
      </c>
      <c r="AK3" s="33" t="inlineStr">
        <is>
          <t>VL_BC_COFINS_ITEM</t>
        </is>
      </c>
      <c r="AL3" s="33" t="inlineStr">
        <is>
          <t>ALIQ_COFINS_ITEM</t>
        </is>
      </c>
      <c r="AM3" s="33" t="inlineStr">
        <is>
          <t>VL_COFINS_ITEM</t>
        </is>
      </c>
      <c r="AN3" s="33" t="inlineStr">
        <is>
          <t>COD_CTA_ITEM</t>
        </is>
      </c>
      <c r="AO3" s="33" t="inlineStr">
        <is>
          <t>COD_CCUS</t>
        </is>
      </c>
    </row>
    <row r="4">
      <c r="A4" s="18" t="inlineStr">
        <is>
          <t>03022008001038</t>
        </is>
      </c>
      <c r="B4" s="15" t="n">
        <v>102021</v>
      </c>
      <c r="C4" s="16" t="n">
        <v>0</v>
      </c>
      <c r="D4" s="16" t="n">
        <v>1</v>
      </c>
      <c r="E4" s="18" t="inlineStr">
        <is>
          <t xml:space="preserve">167664    </t>
        </is>
      </c>
      <c r="F4" s="16" t="inlineStr">
        <is>
          <t>SE</t>
        </is>
      </c>
      <c r="G4" s="16" t="inlineStr">
        <is>
          <t>00</t>
        </is>
      </c>
      <c r="H4" s="17" t="n"/>
      <c r="I4" s="17" t="n"/>
      <c r="J4" s="19" t="n">
        <v>2282950</v>
      </c>
      <c r="K4" s="17" t="n"/>
      <c r="L4" s="29" t="n">
        <v>44474</v>
      </c>
      <c r="M4" s="29" t="n">
        <v>44474</v>
      </c>
      <c r="N4" s="17" t="n">
        <v>1</v>
      </c>
      <c r="O4" s="17" t="n"/>
      <c r="P4" s="17" t="n"/>
      <c r="Q4" s="34" t="inlineStr">
        <is>
          <t>← script</t>
        </is>
      </c>
      <c r="R4" s="34" t="inlineStr">
        <is>
          <t>← script</t>
        </is>
      </c>
      <c r="S4" s="34" t="inlineStr">
        <is>
          <t>← script</t>
        </is>
      </c>
      <c r="T4" s="34" t="inlineStr">
        <is>
          <t>← script</t>
        </is>
      </c>
      <c r="U4" s="34" t="inlineStr">
        <is>
          <t>← script</t>
        </is>
      </c>
      <c r="V4" s="34" t="inlineStr">
        <is>
          <t>← script</t>
        </is>
      </c>
      <c r="W4" s="34" t="inlineStr">
        <is>
          <t>← script</t>
        </is>
      </c>
      <c r="X4" s="34" t="inlineStr">
        <is>
          <t>← script</t>
        </is>
      </c>
      <c r="Y4" s="30" t="n">
        <v>1</v>
      </c>
      <c r="Z4" s="16" t="inlineStr">
        <is>
          <t>SERV001</t>
        </is>
      </c>
      <c r="AA4" s="17" t="n"/>
      <c r="AB4" s="52" t="n">
        <v>2771.6</v>
      </c>
      <c r="AC4" s="17" t="inlineStr">
        <is>
          <t>0,00</t>
        </is>
      </c>
      <c r="AD4" s="17" t="n"/>
      <c r="AE4" s="17" t="n"/>
      <c r="AF4" s="16" t="inlineStr">
        <is>
          <t>50</t>
        </is>
      </c>
      <c r="AG4" s="52" t="n">
        <v>2771.6</v>
      </c>
      <c r="AH4" s="17" t="n">
        <v>1.65</v>
      </c>
      <c r="AI4" s="53">
        <f>ROUND(AG4*1.65%,2)</f>
        <v/>
      </c>
      <c r="AJ4" s="16" t="inlineStr">
        <is>
          <t>50</t>
        </is>
      </c>
      <c r="AK4" s="52" t="n">
        <v>2771.6</v>
      </c>
      <c r="AL4" s="17" t="n">
        <v>7.6</v>
      </c>
      <c r="AM4" s="53">
        <f>ROUND(AK4*7.6%,2)</f>
        <v/>
      </c>
      <c r="AN4" s="25" t="inlineStr">
        <is>
          <t>22214101</t>
        </is>
      </c>
      <c r="AO4" s="17" t="n"/>
    </row>
    <row r="5">
      <c r="A5" s="18" t="inlineStr">
        <is>
          <t>03022008000147</t>
        </is>
      </c>
      <c r="B5" s="15" t="n">
        <v>102021</v>
      </c>
      <c r="C5" s="16" t="n">
        <v>0</v>
      </c>
      <c r="D5" s="16" t="n">
        <v>1</v>
      </c>
      <c r="E5" s="18" t="inlineStr">
        <is>
          <t xml:space="preserve">167806    </t>
        </is>
      </c>
      <c r="F5" s="16" t="inlineStr">
        <is>
          <t>SE</t>
        </is>
      </c>
      <c r="G5" s="16" t="inlineStr">
        <is>
          <t>00</t>
        </is>
      </c>
      <c r="J5" s="19" t="n">
        <v>6676</v>
      </c>
      <c r="L5" s="29" t="n">
        <v>44474</v>
      </c>
      <c r="M5" s="29" t="n">
        <v>44474</v>
      </c>
      <c r="N5" s="17" t="n">
        <v>1</v>
      </c>
      <c r="Y5" s="30" t="n">
        <v>1</v>
      </c>
      <c r="Z5" s="38" t="inlineStr">
        <is>
          <t>serv002</t>
        </is>
      </c>
      <c r="AB5" s="52" t="n">
        <v>28616.29</v>
      </c>
      <c r="AC5" s="17" t="inlineStr">
        <is>
          <t>0,00</t>
        </is>
      </c>
      <c r="AF5" s="16" t="inlineStr">
        <is>
          <t>50</t>
        </is>
      </c>
      <c r="AG5" s="52" t="n">
        <v>28616.29</v>
      </c>
      <c r="AH5" s="17" t="n">
        <v>1.65</v>
      </c>
      <c r="AI5" s="53">
        <f>ROUND(AG5*1.65%,2)</f>
        <v/>
      </c>
      <c r="AJ5" s="16" t="inlineStr">
        <is>
          <t>50</t>
        </is>
      </c>
      <c r="AK5" s="52" t="n">
        <v>28616.29</v>
      </c>
      <c r="AL5" s="17" t="n">
        <v>7.6</v>
      </c>
      <c r="AM5" s="53">
        <f>ROUND(AK5*7.6%,2)</f>
        <v/>
      </c>
      <c r="AN5" s="25" t="inlineStr">
        <is>
          <t>52611101</t>
        </is>
      </c>
    </row>
    <row r="6">
      <c r="A6" s="18" t="inlineStr">
        <is>
          <t>03022008001038</t>
        </is>
      </c>
      <c r="B6" s="15" t="n">
        <v>102021</v>
      </c>
      <c r="C6" s="16" t="n">
        <v>0</v>
      </c>
      <c r="D6" s="16" t="n">
        <v>1</v>
      </c>
      <c r="E6" s="18" t="inlineStr">
        <is>
          <t xml:space="preserve">169361    </t>
        </is>
      </c>
      <c r="F6" s="16" t="inlineStr">
        <is>
          <t>SE</t>
        </is>
      </c>
      <c r="G6" s="16" t="inlineStr">
        <is>
          <t>00</t>
        </is>
      </c>
      <c r="J6" s="19" t="n">
        <v>15868</v>
      </c>
      <c r="L6" s="29" t="n">
        <v>44474</v>
      </c>
      <c r="M6" s="29" t="n">
        <v>44474</v>
      </c>
      <c r="N6" s="17" t="n">
        <v>1</v>
      </c>
      <c r="Y6" s="30" t="n">
        <v>1</v>
      </c>
      <c r="Z6" s="16" t="inlineStr">
        <is>
          <t>SERV003</t>
        </is>
      </c>
      <c r="AB6" s="52" t="n">
        <v>1110</v>
      </c>
      <c r="AC6" s="17" t="inlineStr">
        <is>
          <t>0,00</t>
        </is>
      </c>
      <c r="AF6" s="16" t="inlineStr">
        <is>
          <t>50</t>
        </is>
      </c>
      <c r="AG6" s="52" t="n">
        <v>1110</v>
      </c>
      <c r="AH6" s="17" t="n">
        <v>1.65</v>
      </c>
      <c r="AI6" s="53">
        <f>ROUND(AG6*1.65%,2)</f>
        <v/>
      </c>
      <c r="AJ6" s="16" t="inlineStr">
        <is>
          <t>50</t>
        </is>
      </c>
      <c r="AK6" s="52" t="n">
        <v>1110</v>
      </c>
      <c r="AL6" s="17" t="n">
        <v>7.6</v>
      </c>
      <c r="AM6" s="53">
        <f>ROUND(AK6*7.6%,2)</f>
        <v/>
      </c>
      <c r="AN6" s="25" t="inlineStr">
        <is>
          <t>55191105</t>
        </is>
      </c>
    </row>
    <row r="7">
      <c r="A7" s="18" t="inlineStr">
        <is>
          <t>03022008001380</t>
        </is>
      </c>
      <c r="B7" s="15" t="n">
        <v>102021</v>
      </c>
      <c r="C7" s="16" t="n">
        <v>0</v>
      </c>
      <c r="D7" s="16" t="n">
        <v>1</v>
      </c>
      <c r="E7" s="18" t="inlineStr">
        <is>
          <t xml:space="preserve">212860    </t>
        </is>
      </c>
      <c r="F7" s="16" t="inlineStr">
        <is>
          <t>SE</t>
        </is>
      </c>
      <c r="G7" s="16" t="inlineStr">
        <is>
          <t>00</t>
        </is>
      </c>
      <c r="J7" s="19" t="n">
        <v>1190</v>
      </c>
      <c r="L7" s="29" t="n">
        <v>44474</v>
      </c>
      <c r="M7" s="29" t="n">
        <v>44474</v>
      </c>
      <c r="N7" s="17" t="n">
        <v>1</v>
      </c>
      <c r="Y7" s="30" t="n">
        <v>1</v>
      </c>
      <c r="Z7" s="38" t="inlineStr">
        <is>
          <t>SERV004</t>
        </is>
      </c>
      <c r="AB7" s="52" t="n">
        <v>3074.02</v>
      </c>
      <c r="AC7" s="17" t="inlineStr">
        <is>
          <t>0,00</t>
        </is>
      </c>
      <c r="AF7" s="16" t="inlineStr">
        <is>
          <t>50</t>
        </is>
      </c>
      <c r="AG7" s="52" t="n">
        <v>3074.02</v>
      </c>
      <c r="AH7" s="17" t="n">
        <v>1.65</v>
      </c>
      <c r="AI7" s="53">
        <f>ROUND(AG7*1.65%,2)</f>
        <v/>
      </c>
      <c r="AJ7" s="16" t="inlineStr">
        <is>
          <t>50</t>
        </is>
      </c>
      <c r="AK7" s="52" t="n">
        <v>3074.02</v>
      </c>
      <c r="AL7" s="17" t="n">
        <v>7.6</v>
      </c>
      <c r="AM7" s="53">
        <f>ROUND(AK7*7.6%,2)</f>
        <v/>
      </c>
      <c r="AN7" s="25" t="inlineStr">
        <is>
          <t>55131109</t>
        </is>
      </c>
    </row>
    <row r="8">
      <c r="A8" s="18" t="inlineStr">
        <is>
          <t>03022008001038</t>
        </is>
      </c>
      <c r="B8" s="15" t="n">
        <v>102021</v>
      </c>
      <c r="C8" s="16" t="n">
        <v>0</v>
      </c>
      <c r="D8" s="16" t="n">
        <v>1</v>
      </c>
      <c r="E8" s="18" t="inlineStr">
        <is>
          <t xml:space="preserve">167664    </t>
        </is>
      </c>
      <c r="F8" s="16" t="inlineStr">
        <is>
          <t>SE</t>
        </is>
      </c>
      <c r="G8" s="16" t="inlineStr">
        <is>
          <t>00</t>
        </is>
      </c>
      <c r="J8" s="19" t="n">
        <v>2293663</v>
      </c>
      <c r="L8" s="29" t="n">
        <v>44475</v>
      </c>
      <c r="M8" s="29" t="n">
        <v>44475</v>
      </c>
      <c r="N8" s="17" t="n">
        <v>1</v>
      </c>
      <c r="Y8" s="30" t="n">
        <v>1</v>
      </c>
      <c r="Z8" s="16" t="inlineStr">
        <is>
          <t>SERV005</t>
        </is>
      </c>
      <c r="AB8" s="52" t="n">
        <v>246</v>
      </c>
      <c r="AC8" s="17" t="inlineStr">
        <is>
          <t>0,00</t>
        </is>
      </c>
      <c r="AF8" s="16" t="inlineStr">
        <is>
          <t>50</t>
        </is>
      </c>
      <c r="AG8" s="52" t="n">
        <v>246</v>
      </c>
      <c r="AH8" s="17" t="n">
        <v>1.65</v>
      </c>
      <c r="AI8" s="53">
        <f>ROUND(AG8*1.65%,2)</f>
        <v/>
      </c>
      <c r="AJ8" s="16" t="inlineStr">
        <is>
          <t>50</t>
        </is>
      </c>
      <c r="AK8" s="52" t="n">
        <v>246</v>
      </c>
      <c r="AL8" s="17" t="n">
        <v>7.6</v>
      </c>
      <c r="AM8" s="53">
        <f>ROUND(AK8*7.6%,2)</f>
        <v/>
      </c>
      <c r="AN8" s="25" t="inlineStr">
        <is>
          <t>22214101</t>
        </is>
      </c>
    </row>
    <row r="9">
      <c r="A9" s="18" t="inlineStr">
        <is>
          <t>03022008001038</t>
        </is>
      </c>
      <c r="B9" s="15" t="n">
        <v>102021</v>
      </c>
      <c r="C9" s="16" t="n">
        <v>0</v>
      </c>
      <c r="D9" s="16" t="n">
        <v>1</v>
      </c>
      <c r="E9" s="18" t="inlineStr">
        <is>
          <t xml:space="preserve">170741    </t>
        </is>
      </c>
      <c r="F9" s="16" t="inlineStr">
        <is>
          <t>SE</t>
        </is>
      </c>
      <c r="G9" s="16" t="inlineStr">
        <is>
          <t>00</t>
        </is>
      </c>
      <c r="J9" s="19" t="n">
        <v>191</v>
      </c>
      <c r="L9" s="29" t="n">
        <v>44476</v>
      </c>
      <c r="M9" s="29" t="n">
        <v>44476</v>
      </c>
      <c r="N9" s="17" t="n">
        <v>1</v>
      </c>
      <c r="Y9" s="30" t="n">
        <v>1</v>
      </c>
      <c r="Z9" s="38" t="inlineStr">
        <is>
          <t>SERV006</t>
        </is>
      </c>
      <c r="AB9" s="52" t="n">
        <v>4000</v>
      </c>
      <c r="AC9" s="17" t="inlineStr">
        <is>
          <t>0,00</t>
        </is>
      </c>
      <c r="AF9" s="16" t="inlineStr">
        <is>
          <t>50</t>
        </is>
      </c>
      <c r="AG9" s="52" t="n">
        <v>4000</v>
      </c>
      <c r="AH9" s="17" t="n">
        <v>1.65</v>
      </c>
      <c r="AI9" s="53">
        <f>ROUND(AG9*1.65%,2)</f>
        <v/>
      </c>
      <c r="AJ9" s="16" t="inlineStr">
        <is>
          <t>50</t>
        </is>
      </c>
      <c r="AK9" s="52" t="n">
        <v>4000</v>
      </c>
      <c r="AL9" s="17" t="n">
        <v>7.6</v>
      </c>
      <c r="AM9" s="53">
        <f>ROUND(AK9*7.6%,2)</f>
        <v/>
      </c>
      <c r="AN9" s="25" t="inlineStr">
        <is>
          <t>55191101</t>
        </is>
      </c>
    </row>
    <row r="10">
      <c r="A10" s="18" t="inlineStr">
        <is>
          <t>03022008001038</t>
        </is>
      </c>
      <c r="B10" s="15" t="n">
        <v>102021</v>
      </c>
      <c r="C10" s="16" t="n">
        <v>0</v>
      </c>
      <c r="D10" s="16" t="n">
        <v>1</v>
      </c>
      <c r="E10" s="18" t="inlineStr">
        <is>
          <t xml:space="preserve">167821    </t>
        </is>
      </c>
      <c r="F10" s="16" t="inlineStr">
        <is>
          <t>SE</t>
        </is>
      </c>
      <c r="G10" s="16" t="inlineStr">
        <is>
          <t>00</t>
        </is>
      </c>
      <c r="J10" s="19" t="n">
        <v>16540</v>
      </c>
      <c r="L10" s="29" t="n">
        <v>44476</v>
      </c>
      <c r="M10" s="29" t="n">
        <v>44476</v>
      </c>
      <c r="N10" s="17" t="n">
        <v>1</v>
      </c>
      <c r="Y10" s="30" t="n">
        <v>1</v>
      </c>
      <c r="Z10" s="16" t="inlineStr">
        <is>
          <t>SERV007</t>
        </is>
      </c>
      <c r="AB10" s="52" t="n">
        <v>2019.1</v>
      </c>
      <c r="AC10" s="17" t="inlineStr">
        <is>
          <t>0,00</t>
        </is>
      </c>
      <c r="AF10" s="16" t="inlineStr">
        <is>
          <t>50</t>
        </is>
      </c>
      <c r="AG10" s="52" t="n">
        <v>2019.1</v>
      </c>
      <c r="AH10" s="17" t="n">
        <v>1.65</v>
      </c>
      <c r="AI10" s="53">
        <f>ROUND(AG10*1.65%,2)</f>
        <v/>
      </c>
      <c r="AJ10" s="16" t="inlineStr">
        <is>
          <t>50</t>
        </is>
      </c>
      <c r="AK10" s="52" t="n">
        <v>2019.1</v>
      </c>
      <c r="AL10" s="17" t="n">
        <v>7.6</v>
      </c>
      <c r="AM10" s="53">
        <f>ROUND(AK10*7.6%,2)</f>
        <v/>
      </c>
      <c r="AN10" s="25" t="inlineStr">
        <is>
          <t>55141103</t>
        </is>
      </c>
    </row>
    <row r="11">
      <c r="A11" s="18" t="inlineStr">
        <is>
          <t>03022008001038</t>
        </is>
      </c>
      <c r="B11" s="15" t="n">
        <v>102021</v>
      </c>
      <c r="C11" s="16" t="n">
        <v>0</v>
      </c>
      <c r="D11" s="16" t="n">
        <v>1</v>
      </c>
      <c r="E11" s="18" t="inlineStr">
        <is>
          <t xml:space="preserve">228875    </t>
        </is>
      </c>
      <c r="F11" s="16" t="inlineStr">
        <is>
          <t>SE</t>
        </is>
      </c>
      <c r="G11" s="16" t="inlineStr">
        <is>
          <t>00</t>
        </is>
      </c>
      <c r="J11" s="19" t="n">
        <v>98</v>
      </c>
      <c r="L11" s="29" t="n">
        <v>44477</v>
      </c>
      <c r="M11" s="29" t="n">
        <v>44477</v>
      </c>
      <c r="N11" s="17" t="n">
        <v>1</v>
      </c>
      <c r="Y11" s="30" t="n">
        <v>1</v>
      </c>
      <c r="Z11" s="38" t="inlineStr">
        <is>
          <t>SERV008</t>
        </is>
      </c>
      <c r="AB11" s="52" t="n">
        <v>2000</v>
      </c>
      <c r="AC11" s="17" t="inlineStr">
        <is>
          <t>0,00</t>
        </is>
      </c>
      <c r="AF11" s="16" t="inlineStr">
        <is>
          <t>50</t>
        </is>
      </c>
      <c r="AG11" s="52" t="n">
        <v>2000</v>
      </c>
      <c r="AH11" s="17" t="n">
        <v>1.65</v>
      </c>
      <c r="AI11" s="53">
        <f>ROUND(AG11*1.65%,2)</f>
        <v/>
      </c>
      <c r="AJ11" s="16" t="inlineStr">
        <is>
          <t>50</t>
        </is>
      </c>
      <c r="AK11" s="52" t="n">
        <v>2000</v>
      </c>
      <c r="AL11" s="17" t="n">
        <v>7.6</v>
      </c>
      <c r="AM11" s="53">
        <f>ROUND(AK11*7.6%,2)</f>
        <v/>
      </c>
      <c r="AN11" s="25" t="inlineStr">
        <is>
          <t>55111108</t>
        </is>
      </c>
    </row>
    <row r="12">
      <c r="A12" s="18" t="inlineStr">
        <is>
          <t>03022008001380</t>
        </is>
      </c>
      <c r="B12" s="15" t="n">
        <v>102021</v>
      </c>
      <c r="C12" s="16" t="n">
        <v>0</v>
      </c>
      <c r="D12" s="16" t="n">
        <v>1</v>
      </c>
      <c r="E12" s="18" t="inlineStr">
        <is>
          <t xml:space="preserve">166643    </t>
        </is>
      </c>
      <c r="F12" s="16" t="inlineStr">
        <is>
          <t>SE</t>
        </is>
      </c>
      <c r="G12" s="16" t="inlineStr">
        <is>
          <t>00</t>
        </is>
      </c>
      <c r="J12" s="19" t="n">
        <v>2579569</v>
      </c>
      <c r="L12" s="29" t="n">
        <v>44495</v>
      </c>
      <c r="M12" s="29" t="n">
        <v>44495</v>
      </c>
      <c r="N12" s="17" t="n">
        <v>1</v>
      </c>
      <c r="Y12" s="30" t="n">
        <v>1</v>
      </c>
      <c r="Z12" s="16" t="inlineStr">
        <is>
          <t>SERV009</t>
        </is>
      </c>
      <c r="AB12" s="52" t="n">
        <v>265.48</v>
      </c>
      <c r="AC12" s="17" t="inlineStr">
        <is>
          <t>0,00</t>
        </is>
      </c>
      <c r="AF12" s="16" t="inlineStr">
        <is>
          <t>50</t>
        </is>
      </c>
      <c r="AG12" s="52" t="n">
        <v>265.48</v>
      </c>
      <c r="AH12" s="17" t="n">
        <v>1.65</v>
      </c>
      <c r="AI12" s="53">
        <f>ROUND(AG12*1.65%,2)</f>
        <v/>
      </c>
      <c r="AJ12" s="16" t="inlineStr">
        <is>
          <t>50</t>
        </is>
      </c>
      <c r="AK12" s="52" t="n">
        <v>265.48</v>
      </c>
      <c r="AL12" s="17" t="n">
        <v>7.6</v>
      </c>
      <c r="AM12" s="53">
        <f>ROUND(AK12*7.6%,2)</f>
        <v/>
      </c>
      <c r="AN12" s="25" t="inlineStr">
        <is>
          <t>52611101</t>
        </is>
      </c>
    </row>
    <row r="13">
      <c r="A13" s="18" t="inlineStr">
        <is>
          <t>03022008001380</t>
        </is>
      </c>
      <c r="B13" s="15" t="n">
        <v>102021</v>
      </c>
      <c r="C13" s="16" t="n">
        <v>0</v>
      </c>
      <c r="D13" s="16" t="n">
        <v>1</v>
      </c>
      <c r="E13" s="18" t="inlineStr">
        <is>
          <t xml:space="preserve">166643    </t>
        </is>
      </c>
      <c r="F13" s="16" t="inlineStr">
        <is>
          <t>SE</t>
        </is>
      </c>
      <c r="G13" s="16" t="inlineStr">
        <is>
          <t>00</t>
        </is>
      </c>
      <c r="J13" s="19" t="n">
        <v>2579569</v>
      </c>
      <c r="L13" s="29" t="n">
        <v>44495</v>
      </c>
      <c r="M13" s="29" t="n">
        <v>44495</v>
      </c>
      <c r="N13" s="17" t="n">
        <v>1</v>
      </c>
      <c r="Y13" s="30" t="n">
        <v>2</v>
      </c>
      <c r="Z13" s="38" t="inlineStr">
        <is>
          <t>SERV010</t>
        </is>
      </c>
      <c r="AB13" s="52" t="n">
        <v>265.48</v>
      </c>
      <c r="AC13" s="17" t="inlineStr">
        <is>
          <t>0,00</t>
        </is>
      </c>
      <c r="AF13" s="16" t="inlineStr">
        <is>
          <t>50</t>
        </is>
      </c>
      <c r="AG13" s="52" t="n">
        <v>265.48</v>
      </c>
      <c r="AH13" s="17" t="n">
        <v>1.65</v>
      </c>
      <c r="AI13" s="53">
        <f>ROUND(AG13*1.65%,2)</f>
        <v/>
      </c>
      <c r="AJ13" s="16" t="inlineStr">
        <is>
          <t>50</t>
        </is>
      </c>
      <c r="AK13" s="52" t="n">
        <v>265.48</v>
      </c>
      <c r="AL13" s="17" t="n">
        <v>7.6</v>
      </c>
      <c r="AM13" s="53">
        <f>ROUND(AK13*7.6%,2)</f>
        <v/>
      </c>
      <c r="AN13" s="25" t="inlineStr">
        <is>
          <t>52611101</t>
        </is>
      </c>
    </row>
    <row r="14">
      <c r="A14" s="18" t="inlineStr">
        <is>
          <t>03022008001380</t>
        </is>
      </c>
      <c r="B14" s="15" t="n">
        <v>102021</v>
      </c>
      <c r="C14" s="16" t="n">
        <v>0</v>
      </c>
      <c r="D14" s="16" t="n">
        <v>1</v>
      </c>
      <c r="E14" s="18" t="inlineStr">
        <is>
          <t xml:space="preserve">166643    </t>
        </is>
      </c>
      <c r="F14" s="16" t="inlineStr">
        <is>
          <t>SE</t>
        </is>
      </c>
      <c r="G14" s="16" t="inlineStr">
        <is>
          <t>00</t>
        </is>
      </c>
      <c r="J14" s="19" t="n">
        <v>2579569</v>
      </c>
      <c r="L14" s="29" t="n">
        <v>44495</v>
      </c>
      <c r="M14" s="29" t="n">
        <v>44495</v>
      </c>
      <c r="N14" s="17" t="n">
        <v>1</v>
      </c>
      <c r="Y14" s="30" t="n">
        <v>3</v>
      </c>
      <c r="Z14" s="16" t="inlineStr">
        <is>
          <t>SERV011</t>
        </is>
      </c>
      <c r="AB14" s="52" t="n">
        <v>266.03</v>
      </c>
      <c r="AC14" s="17" t="inlineStr">
        <is>
          <t>0,00</t>
        </is>
      </c>
      <c r="AF14" s="16" t="inlineStr">
        <is>
          <t>50</t>
        </is>
      </c>
      <c r="AG14" s="52" t="n">
        <v>266.03</v>
      </c>
      <c r="AH14" s="17" t="n">
        <v>1.65</v>
      </c>
      <c r="AI14" s="53">
        <f>ROUND(AG14*1.65%,2)</f>
        <v/>
      </c>
      <c r="AJ14" s="16" t="inlineStr">
        <is>
          <t>50</t>
        </is>
      </c>
      <c r="AK14" s="52" t="n">
        <v>266.03</v>
      </c>
      <c r="AL14" s="17" t="n">
        <v>7.6</v>
      </c>
      <c r="AM14" s="53">
        <f>ROUND(AK14*7.6%,2)</f>
        <v/>
      </c>
      <c r="AN14" s="25" t="inlineStr">
        <is>
          <t>52611101</t>
        </is>
      </c>
    </row>
    <row r="15">
      <c r="A15" s="18" t="inlineStr">
        <is>
          <t>03022008001380</t>
        </is>
      </c>
      <c r="B15" s="15" t="n">
        <v>102021</v>
      </c>
      <c r="C15" s="16" t="n">
        <v>0</v>
      </c>
      <c r="D15" s="16" t="n">
        <v>1</v>
      </c>
      <c r="E15" s="18" t="inlineStr">
        <is>
          <t xml:space="preserve">166643    </t>
        </is>
      </c>
      <c r="F15" s="16" t="inlineStr">
        <is>
          <t>SE</t>
        </is>
      </c>
      <c r="G15" s="16" t="inlineStr">
        <is>
          <t>00</t>
        </is>
      </c>
      <c r="J15" s="19" t="n">
        <v>2579569</v>
      </c>
      <c r="L15" s="29" t="n">
        <v>44495</v>
      </c>
      <c r="M15" s="29" t="n">
        <v>44495</v>
      </c>
      <c r="N15" s="17" t="n">
        <v>1</v>
      </c>
      <c r="Y15" s="30" t="n">
        <v>4</v>
      </c>
      <c r="Z15" s="38" t="inlineStr">
        <is>
          <t>SERV012</t>
        </is>
      </c>
      <c r="AB15" s="52" t="n">
        <v>265.48</v>
      </c>
      <c r="AC15" s="17" t="inlineStr">
        <is>
          <t>0,00</t>
        </is>
      </c>
      <c r="AF15" s="16" t="inlineStr">
        <is>
          <t>50</t>
        </is>
      </c>
      <c r="AG15" s="52" t="n">
        <v>265.48</v>
      </c>
      <c r="AH15" s="17" t="n">
        <v>1.65</v>
      </c>
      <c r="AI15" s="53">
        <f>ROUND(AG15*1.65%,2)</f>
        <v/>
      </c>
      <c r="AJ15" s="16" t="inlineStr">
        <is>
          <t>50</t>
        </is>
      </c>
      <c r="AK15" s="52" t="n">
        <v>265.48</v>
      </c>
      <c r="AL15" s="17" t="n">
        <v>7.6</v>
      </c>
      <c r="AM15" s="53">
        <f>ROUND(AK15*7.6%,2)</f>
        <v/>
      </c>
      <c r="AN15" s="25" t="inlineStr">
        <is>
          <t>52611101</t>
        </is>
      </c>
    </row>
    <row r="16">
      <c r="A16" s="18" t="inlineStr">
        <is>
          <t>03022008001380</t>
        </is>
      </c>
      <c r="B16" s="15" t="n">
        <v>102021</v>
      </c>
      <c r="C16" s="16" t="n">
        <v>0</v>
      </c>
      <c r="D16" s="16" t="n">
        <v>1</v>
      </c>
      <c r="E16" s="18" t="inlineStr">
        <is>
          <t xml:space="preserve">166643    </t>
        </is>
      </c>
      <c r="F16" s="16" t="inlineStr">
        <is>
          <t>SE</t>
        </is>
      </c>
      <c r="G16" s="16" t="inlineStr">
        <is>
          <t>00</t>
        </is>
      </c>
      <c r="J16" s="19" t="n">
        <v>2579569</v>
      </c>
      <c r="L16" s="29" t="n">
        <v>44495</v>
      </c>
      <c r="M16" s="29" t="n">
        <v>44495</v>
      </c>
      <c r="N16" s="17" t="n">
        <v>1</v>
      </c>
      <c r="Y16" s="30" t="n">
        <v>5</v>
      </c>
      <c r="Z16" s="16" t="inlineStr">
        <is>
          <t>SERV013</t>
        </is>
      </c>
      <c r="AB16" s="52" t="n">
        <v>265.48</v>
      </c>
      <c r="AC16" s="17" t="inlineStr">
        <is>
          <t>0,00</t>
        </is>
      </c>
      <c r="AF16" s="16" t="inlineStr">
        <is>
          <t>50</t>
        </is>
      </c>
      <c r="AG16" s="52" t="n">
        <v>265.48</v>
      </c>
      <c r="AH16" s="17" t="n">
        <v>1.65</v>
      </c>
      <c r="AI16" s="53">
        <f>ROUND(AG16*1.65%,2)</f>
        <v/>
      </c>
      <c r="AJ16" s="16" t="inlineStr">
        <is>
          <t>50</t>
        </is>
      </c>
      <c r="AK16" s="52" t="n">
        <v>265.48</v>
      </c>
      <c r="AL16" s="17" t="n">
        <v>7.6</v>
      </c>
      <c r="AM16" s="53">
        <f>ROUND(AK16*7.6%,2)</f>
        <v/>
      </c>
      <c r="AN16" s="25" t="inlineStr">
        <is>
          <t>52611101</t>
        </is>
      </c>
    </row>
    <row r="17">
      <c r="A17" s="18" t="inlineStr">
        <is>
          <t>03022008001380</t>
        </is>
      </c>
      <c r="B17" s="15" t="n">
        <v>102021</v>
      </c>
      <c r="C17" s="16" t="n">
        <v>0</v>
      </c>
      <c r="D17" s="16" t="n">
        <v>1</v>
      </c>
      <c r="E17" s="18" t="inlineStr">
        <is>
          <t xml:space="preserve">166643    </t>
        </is>
      </c>
      <c r="F17" s="16" t="inlineStr">
        <is>
          <t>SE</t>
        </is>
      </c>
      <c r="G17" s="16" t="inlineStr">
        <is>
          <t>00</t>
        </is>
      </c>
      <c r="J17" s="19" t="n">
        <v>2579569</v>
      </c>
      <c r="L17" s="29" t="n">
        <v>44495</v>
      </c>
      <c r="M17" s="29" t="n">
        <v>44495</v>
      </c>
      <c r="N17" s="17" t="n">
        <v>1</v>
      </c>
      <c r="Y17" s="30" t="n">
        <v>7</v>
      </c>
      <c r="Z17" s="38" t="inlineStr">
        <is>
          <t>SERV014</t>
        </is>
      </c>
      <c r="AB17" s="52" t="n">
        <v>268.78</v>
      </c>
      <c r="AC17" s="17" t="inlineStr">
        <is>
          <t>0,00</t>
        </is>
      </c>
      <c r="AF17" s="16" t="inlineStr">
        <is>
          <t>50</t>
        </is>
      </c>
      <c r="AG17" s="52" t="n">
        <v>268.78</v>
      </c>
      <c r="AH17" s="17" t="n">
        <v>1.65</v>
      </c>
      <c r="AI17" s="53">
        <f>ROUND(AG17*1.65%,2)</f>
        <v/>
      </c>
      <c r="AJ17" s="16" t="inlineStr">
        <is>
          <t>50</t>
        </is>
      </c>
      <c r="AK17" s="52" t="n">
        <v>268.78</v>
      </c>
      <c r="AL17" s="17" t="n">
        <v>7.6</v>
      </c>
      <c r="AM17" s="53">
        <f>ROUND(AK17*7.6%,2)</f>
        <v/>
      </c>
      <c r="AN17" s="25" t="inlineStr">
        <is>
          <t>52611101</t>
        </is>
      </c>
    </row>
    <row r="18">
      <c r="A18" s="18" t="inlineStr">
        <is>
          <t>03022008001380</t>
        </is>
      </c>
      <c r="B18" s="15" t="n">
        <v>102021</v>
      </c>
      <c r="C18" s="16" t="n">
        <v>0</v>
      </c>
      <c r="D18" s="16" t="n">
        <v>1</v>
      </c>
      <c r="E18" s="18" t="inlineStr">
        <is>
          <t xml:space="preserve">166643    </t>
        </is>
      </c>
      <c r="F18" s="16" t="inlineStr">
        <is>
          <t>SE</t>
        </is>
      </c>
      <c r="G18" s="16" t="inlineStr">
        <is>
          <t>00</t>
        </is>
      </c>
      <c r="J18" s="19" t="n">
        <v>2599243</v>
      </c>
      <c r="L18" s="29" t="n">
        <v>44495</v>
      </c>
      <c r="M18" s="29" t="n">
        <v>44495</v>
      </c>
      <c r="N18" s="17" t="n">
        <v>1</v>
      </c>
      <c r="Y18" s="30" t="n">
        <v>1</v>
      </c>
      <c r="Z18" s="16" t="inlineStr">
        <is>
          <t>SERV015</t>
        </is>
      </c>
      <c r="AB18" s="52" t="n">
        <v>268.23</v>
      </c>
      <c r="AC18" s="17" t="inlineStr">
        <is>
          <t>0,00</t>
        </is>
      </c>
      <c r="AF18" s="16" t="inlineStr">
        <is>
          <t>50</t>
        </is>
      </c>
      <c r="AG18" s="52" t="n">
        <v>268.23</v>
      </c>
      <c r="AH18" s="17" t="n">
        <v>1.65</v>
      </c>
      <c r="AI18" s="53">
        <f>ROUND(AG18*1.65%,2)</f>
        <v/>
      </c>
      <c r="AJ18" s="16" t="inlineStr">
        <is>
          <t>50</t>
        </is>
      </c>
      <c r="AK18" s="52" t="n">
        <v>268.23</v>
      </c>
      <c r="AL18" s="17" t="n">
        <v>7.6</v>
      </c>
      <c r="AM18" s="53">
        <f>ROUND(AK18*7.6%,2)</f>
        <v/>
      </c>
      <c r="AN18" s="25" t="inlineStr">
        <is>
          <t>52611101</t>
        </is>
      </c>
    </row>
    <row r="19">
      <c r="A19" s="18" t="inlineStr">
        <is>
          <t>03022008001380</t>
        </is>
      </c>
      <c r="B19" s="15" t="n">
        <v>102021</v>
      </c>
      <c r="C19" s="16" t="n">
        <v>0</v>
      </c>
      <c r="D19" s="16" t="n">
        <v>1</v>
      </c>
      <c r="E19" s="18" t="inlineStr">
        <is>
          <t xml:space="preserve">166643    </t>
        </is>
      </c>
      <c r="F19" s="16" t="inlineStr">
        <is>
          <t>SE</t>
        </is>
      </c>
      <c r="G19" s="16" t="inlineStr">
        <is>
          <t>00</t>
        </is>
      </c>
      <c r="J19" s="19" t="n">
        <v>2599243</v>
      </c>
      <c r="L19" s="29" t="n">
        <v>44495</v>
      </c>
      <c r="M19" s="29" t="n">
        <v>44495</v>
      </c>
      <c r="N19" s="17" t="n">
        <v>1</v>
      </c>
      <c r="Y19" s="30" t="n">
        <v>2</v>
      </c>
      <c r="Z19" s="38" t="inlineStr">
        <is>
          <t>SERV016</t>
        </is>
      </c>
      <c r="AB19" s="52" t="n">
        <v>265.48</v>
      </c>
      <c r="AC19" s="17" t="inlineStr">
        <is>
          <t>0,00</t>
        </is>
      </c>
      <c r="AF19" s="16" t="inlineStr">
        <is>
          <t>50</t>
        </is>
      </c>
      <c r="AG19" s="52" t="n">
        <v>265.48</v>
      </c>
      <c r="AH19" s="17" t="n">
        <v>1.65</v>
      </c>
      <c r="AI19" s="53">
        <f>ROUND(AG19*1.65%,2)</f>
        <v/>
      </c>
      <c r="AJ19" s="16" t="inlineStr">
        <is>
          <t>50</t>
        </is>
      </c>
      <c r="AK19" s="52" t="n">
        <v>265.48</v>
      </c>
      <c r="AL19" s="17" t="n">
        <v>7.6</v>
      </c>
      <c r="AM19" s="53">
        <f>ROUND(AK19*7.6%,2)</f>
        <v/>
      </c>
      <c r="AN19" s="25" t="inlineStr">
        <is>
          <t>52611101</t>
        </is>
      </c>
    </row>
    <row r="20">
      <c r="A20" s="18" t="inlineStr">
        <is>
          <t>03022008001380</t>
        </is>
      </c>
      <c r="B20" s="15" t="n">
        <v>102021</v>
      </c>
      <c r="C20" s="16" t="n">
        <v>0</v>
      </c>
      <c r="D20" s="16" t="n">
        <v>1</v>
      </c>
      <c r="E20" s="18" t="inlineStr">
        <is>
          <t xml:space="preserve">166643    </t>
        </is>
      </c>
      <c r="F20" s="16" t="inlineStr">
        <is>
          <t>SE</t>
        </is>
      </c>
      <c r="G20" s="16" t="inlineStr">
        <is>
          <t>00</t>
        </is>
      </c>
      <c r="J20" s="19" t="n">
        <v>2599243</v>
      </c>
      <c r="L20" s="29" t="n">
        <v>44495</v>
      </c>
      <c r="M20" s="29" t="n">
        <v>44495</v>
      </c>
      <c r="N20" s="17" t="n">
        <v>1</v>
      </c>
      <c r="Y20" s="30" t="n">
        <v>3</v>
      </c>
      <c r="Z20" s="16" t="inlineStr">
        <is>
          <t>SERV017</t>
        </is>
      </c>
      <c r="AB20" s="52" t="n">
        <v>265.48</v>
      </c>
      <c r="AC20" s="17" t="inlineStr">
        <is>
          <t>0,00</t>
        </is>
      </c>
      <c r="AF20" s="16" t="inlineStr">
        <is>
          <t>50</t>
        </is>
      </c>
      <c r="AG20" s="52" t="n">
        <v>265.48</v>
      </c>
      <c r="AH20" s="17" t="n">
        <v>1.65</v>
      </c>
      <c r="AI20" s="53">
        <f>ROUND(AG20*1.65%,2)</f>
        <v/>
      </c>
      <c r="AJ20" s="16" t="inlineStr">
        <is>
          <t>50</t>
        </is>
      </c>
      <c r="AK20" s="52" t="n">
        <v>265.48</v>
      </c>
      <c r="AL20" s="17" t="n">
        <v>7.6</v>
      </c>
      <c r="AM20" s="53">
        <f>ROUND(AK20*7.6%,2)</f>
        <v/>
      </c>
      <c r="AN20" s="25" t="inlineStr">
        <is>
          <t>52611101</t>
        </is>
      </c>
    </row>
    <row r="21">
      <c r="A21" s="18" t="inlineStr">
        <is>
          <t>03022008001380</t>
        </is>
      </c>
      <c r="B21" s="15" t="n">
        <v>102021</v>
      </c>
      <c r="C21" s="16" t="n">
        <v>0</v>
      </c>
      <c r="D21" s="16" t="n">
        <v>1</v>
      </c>
      <c r="E21" s="18" t="inlineStr">
        <is>
          <t xml:space="preserve">166643    </t>
        </is>
      </c>
      <c r="F21" s="16" t="inlineStr">
        <is>
          <t>SE</t>
        </is>
      </c>
      <c r="G21" s="16" t="inlineStr">
        <is>
          <t>00</t>
        </is>
      </c>
      <c r="J21" s="19" t="n">
        <v>2599243</v>
      </c>
      <c r="L21" s="29" t="n">
        <v>44495</v>
      </c>
      <c r="M21" s="29" t="n">
        <v>44495</v>
      </c>
      <c r="N21" s="17" t="n">
        <v>1</v>
      </c>
      <c r="Y21" s="30" t="n">
        <v>4</v>
      </c>
      <c r="Z21" s="38" t="inlineStr">
        <is>
          <t>SERV018</t>
        </is>
      </c>
      <c r="AB21" s="52" t="n">
        <v>265.48</v>
      </c>
      <c r="AC21" s="17" t="inlineStr">
        <is>
          <t>0,00</t>
        </is>
      </c>
      <c r="AF21" s="16" t="inlineStr">
        <is>
          <t>50</t>
        </is>
      </c>
      <c r="AG21" s="52" t="n">
        <v>265.48</v>
      </c>
      <c r="AH21" s="17" t="n">
        <v>1.65</v>
      </c>
      <c r="AI21" s="53">
        <f>ROUND(AG21*1.65%,2)</f>
        <v/>
      </c>
      <c r="AJ21" s="16" t="inlineStr">
        <is>
          <t>50</t>
        </is>
      </c>
      <c r="AK21" s="52" t="n">
        <v>265.48</v>
      </c>
      <c r="AL21" s="17" t="n">
        <v>7.6</v>
      </c>
      <c r="AM21" s="53">
        <f>ROUND(AK21*7.6%,2)</f>
        <v/>
      </c>
      <c r="AN21" s="25" t="inlineStr">
        <is>
          <t>52611101</t>
        </is>
      </c>
    </row>
    <row r="22">
      <c r="A22" s="18" t="inlineStr">
        <is>
          <t>03022008001380</t>
        </is>
      </c>
      <c r="B22" s="15" t="n">
        <v>102021</v>
      </c>
      <c r="C22" s="16" t="n">
        <v>0</v>
      </c>
      <c r="D22" s="16" t="n">
        <v>1</v>
      </c>
      <c r="E22" s="18" t="inlineStr">
        <is>
          <t xml:space="preserve">166643    </t>
        </is>
      </c>
      <c r="F22" s="16" t="inlineStr">
        <is>
          <t>SE</t>
        </is>
      </c>
      <c r="G22" s="16" t="inlineStr">
        <is>
          <t>00</t>
        </is>
      </c>
      <c r="J22" s="19" t="n">
        <v>2599243</v>
      </c>
      <c r="L22" s="29" t="n">
        <v>44495</v>
      </c>
      <c r="M22" s="29" t="n">
        <v>44495</v>
      </c>
      <c r="N22" s="17" t="n">
        <v>1</v>
      </c>
      <c r="Y22" s="30" t="n">
        <v>5</v>
      </c>
      <c r="Z22" s="16" t="inlineStr">
        <is>
          <t>SERV019</t>
        </is>
      </c>
      <c r="AB22" s="52" t="n">
        <v>266.03</v>
      </c>
      <c r="AC22" s="17" t="inlineStr">
        <is>
          <t>0,00</t>
        </is>
      </c>
      <c r="AF22" s="16" t="inlineStr">
        <is>
          <t>50</t>
        </is>
      </c>
      <c r="AG22" s="52" t="n">
        <v>266.03</v>
      </c>
      <c r="AH22" s="17" t="n">
        <v>1.65</v>
      </c>
      <c r="AI22" s="53">
        <f>ROUND(AG22*1.65%,2)</f>
        <v/>
      </c>
      <c r="AJ22" s="16" t="inlineStr">
        <is>
          <t>50</t>
        </is>
      </c>
      <c r="AK22" s="52" t="n">
        <v>266.03</v>
      </c>
      <c r="AL22" s="17" t="n">
        <v>7.6</v>
      </c>
      <c r="AM22" s="53">
        <f>ROUND(AK22*7.6%,2)</f>
        <v/>
      </c>
      <c r="AN22" s="25" t="inlineStr">
        <is>
          <t>52611101</t>
        </is>
      </c>
    </row>
  </sheetData>
  <mergeCells count="5">
    <mergeCell ref="A2:B2"/>
    <mergeCell ref="Q2:X2"/>
    <mergeCell ref="A1:AO1"/>
    <mergeCell ref="C2:P2"/>
    <mergeCell ref="Y2:A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4"/>
  <sheetViews>
    <sheetView showGridLines="0" topLeftCell="AR1" workbookViewId="0">
      <pane ySplit="3" topLeftCell="A4" activePane="bottomLeft" state="frozen"/>
      <selection pane="bottomLeft" activeCell="AF4" sqref="AF4:BM4"/>
    </sheetView>
  </sheetViews>
  <sheetFormatPr baseColWidth="8" defaultRowHeight="15.75"/>
  <cols>
    <col width="17.28515625" bestFit="1" customWidth="1" style="38" min="1" max="1"/>
    <col width="11" bestFit="1" customWidth="1" style="38" min="2" max="2"/>
    <col width="6.85546875" bestFit="1" customWidth="1" style="38" min="3" max="3"/>
    <col width="6.42578125" bestFit="1" customWidth="1" style="38" min="4" max="4"/>
    <col width="20.85546875" bestFit="1" customWidth="1" style="38" min="5" max="5"/>
    <col width="8" customWidth="1" style="38" min="6" max="6"/>
    <col width="7.5703125" bestFit="1" customWidth="1" style="38" min="7" max="7"/>
    <col width="4.7109375" bestFit="1" customWidth="1" style="38" min="8" max="8"/>
    <col width="10.85546875" bestFit="1" customWidth="1" style="38" min="9" max="9"/>
    <col width="9.7109375" bestFit="1" customWidth="1" style="38" min="10" max="10"/>
    <col width="11.5703125" bestFit="1" customWidth="1" style="38" min="11" max="12"/>
    <col width="8" customWidth="1" style="38" min="13" max="13"/>
    <col width="7.7109375" bestFit="1" customWidth="1" style="38" min="14" max="14"/>
    <col width="7.5703125" bestFit="1" customWidth="1" style="38" min="15" max="15"/>
    <col width="8" bestFit="1" customWidth="1" style="38" min="16" max="16"/>
    <col width="11.7109375" bestFit="1" customWidth="1" style="38" min="17" max="17"/>
    <col width="11.28515625" bestFit="1" customWidth="1" style="38" min="18" max="18"/>
    <col width="10" bestFit="1" customWidth="1" style="38" min="19" max="19"/>
    <col width="8.85546875" bestFit="1" customWidth="1" style="38" min="20" max="20"/>
    <col width="9.42578125" bestFit="1" customWidth="1" style="38" min="21" max="21"/>
    <col width="9.7109375" bestFit="1" customWidth="1" style="38" min="22" max="22"/>
    <col width="12.7109375" bestFit="1" customWidth="1" style="38" min="23" max="23"/>
    <col width="9.140625" bestFit="1" customWidth="1" style="38" min="24" max="24"/>
    <col width="13.7109375" bestFit="1" customWidth="1" style="38" min="25" max="25"/>
    <col width="11.28515625" bestFit="1" customWidth="1" style="38" min="26" max="26"/>
    <col width="8.85546875" bestFit="1" customWidth="1" style="38" min="27" max="28"/>
    <col width="11.5703125" bestFit="1" customWidth="1" style="38" min="29" max="29"/>
    <col width="10.42578125" bestFit="1" customWidth="1" style="38" min="30" max="30"/>
    <col width="11.5703125" bestFit="1" customWidth="1" style="38" min="31" max="31"/>
    <col width="8" customWidth="1" style="38" min="32" max="32"/>
    <col width="10.7109375" bestFit="1" customWidth="1" style="38" min="33" max="33"/>
    <col width="15.5703125" bestFit="1" customWidth="1" style="38" min="34" max="34"/>
    <col width="7.28515625" bestFit="1" customWidth="1" style="38" min="35" max="35"/>
    <col width="5.85546875" bestFit="1" customWidth="1" style="38" min="36" max="36"/>
    <col width="8.5703125" bestFit="1" customWidth="1" style="38" min="37" max="37"/>
    <col width="11.85546875" bestFit="1" customWidth="1" style="38" min="38" max="38"/>
    <col width="7" bestFit="1" customWidth="1" style="38" min="39" max="39"/>
    <col width="7.5703125" bestFit="1" customWidth="1" style="38" min="40" max="40"/>
    <col width="6.42578125" bestFit="1" customWidth="1" style="38" min="41" max="41"/>
    <col width="10" customWidth="1" style="38" min="42" max="42"/>
    <col width="13.7109375" bestFit="1" customWidth="1" style="38" min="43" max="43"/>
    <col width="6.85546875" bestFit="1" customWidth="1" style="38" min="44" max="44"/>
    <col width="11.5703125" bestFit="1" customWidth="1" style="38" min="45" max="45"/>
    <col width="13.7109375" bestFit="1" customWidth="1" style="38" min="46" max="46"/>
    <col width="7.5703125" bestFit="1" customWidth="1" style="38" min="47" max="47"/>
    <col width="11.28515625" bestFit="1" customWidth="1" style="38" min="48" max="48"/>
    <col width="8" customWidth="1" style="38" min="49" max="49"/>
    <col width="10.140625" bestFit="1" customWidth="1" style="38" min="50" max="50"/>
    <col width="6.85546875" bestFit="1" customWidth="1" style="38" min="51" max="51"/>
    <col width="11.85546875" bestFit="1" customWidth="1" style="38" min="52" max="52"/>
    <col width="7.42578125" bestFit="1" customWidth="1" style="38" min="53" max="53"/>
    <col width="13.42578125" bestFit="1" customWidth="1" style="38" min="54" max="54"/>
    <col width="9.42578125" bestFit="1" customWidth="1" style="38" min="55" max="55"/>
    <col width="11.28515625" bestFit="1" customWidth="1" style="38" min="56" max="56"/>
    <col width="11.5703125" bestFit="1" customWidth="1" style="38" min="57" max="57"/>
    <col width="10.85546875" bestFit="1" customWidth="1" style="38" min="58" max="58"/>
    <col width="7" bestFit="1" customWidth="1" style="38" min="59" max="59"/>
    <col width="14" customWidth="1" style="38" min="60" max="60"/>
    <col width="9.28515625" bestFit="1" customWidth="1" style="38" min="61" max="61"/>
    <col width="11.28515625" bestFit="1" customWidth="1" style="38" min="62" max="62"/>
    <col width="11" bestFit="1" customWidth="1" style="38" min="63" max="63"/>
    <col width="11.5703125" bestFit="1" customWidth="1" style="38" min="64" max="64"/>
    <col width="13.7109375" bestFit="1" customWidth="1" style="38" min="65" max="65"/>
    <col width="9.140625" customWidth="1" style="38" min="66" max="16384"/>
  </cols>
  <sheetData>
    <row r="1">
      <c r="A1" s="37" t="inlineStr">
        <is>
          <t>EFD CONTRIBUIÇÕES  |  C100 + C170  –  NF-e / NF Mod.1 + Itens  |  1 linha = 1 item  |  Campos CINZA calculados pelo script</t>
        </is>
      </c>
    </row>
    <row r="2">
      <c r="A2" s="37" t="inlineStr">
        <is>
          <t>IDENTIFICAÇÃO</t>
        </is>
      </c>
      <c r="C2" s="40" t="inlineStr">
        <is>
          <t>◆ C100 – CABEÇALHO (preencher)</t>
        </is>
      </c>
      <c r="T2" s="39" t="inlineStr">
        <is>
          <t>◆ C100 – TOTAIS (script)</t>
        </is>
      </c>
      <c r="AF2" s="41" t="inlineStr">
        <is>
          <t>◆ C170 – ITEM (preencher)</t>
        </is>
      </c>
    </row>
    <row r="3" ht="31.5" customHeight="1" s="43">
      <c r="A3" s="12" t="inlineStr">
        <is>
          <t>CNPJ_ESTAB</t>
        </is>
      </c>
      <c r="B3" s="12" t="inlineStr">
        <is>
          <t>PERÍODO
(MMAAAA)</t>
        </is>
      </c>
      <c r="C3" s="13" t="inlineStr">
        <is>
          <t>IND_OPER</t>
        </is>
      </c>
      <c r="D3" s="13" t="inlineStr">
        <is>
          <t>IND_EMIT</t>
        </is>
      </c>
      <c r="E3" s="13" t="inlineStr">
        <is>
          <t>COD_PART
(Fornecedor/Cliente)</t>
        </is>
      </c>
      <c r="F3" s="13" t="inlineStr">
        <is>
          <t>COD_MOD</t>
        </is>
      </c>
      <c r="G3" s="13" t="inlineStr">
        <is>
          <t>COD_SIT</t>
        </is>
      </c>
      <c r="H3" s="13" t="inlineStr">
        <is>
          <t>SER</t>
        </is>
      </c>
      <c r="I3" s="13" t="inlineStr">
        <is>
          <t>NUM_DOC</t>
        </is>
      </c>
      <c r="J3" s="13" t="inlineStr">
        <is>
          <t>CHV_NFE</t>
        </is>
      </c>
      <c r="K3" s="13" t="inlineStr">
        <is>
          <t>DT_DOC</t>
        </is>
      </c>
      <c r="L3" s="13" t="inlineStr">
        <is>
          <t>DT_E_S</t>
        </is>
      </c>
      <c r="M3" s="13" t="inlineStr">
        <is>
          <t>IND_PGTO</t>
        </is>
      </c>
      <c r="N3" s="13" t="inlineStr">
        <is>
          <t>IND_FRT</t>
        </is>
      </c>
      <c r="O3" s="13" t="inlineStr">
        <is>
          <t>VL_FRT</t>
        </is>
      </c>
      <c r="P3" s="13" t="inlineStr">
        <is>
          <t>VL_SEG</t>
        </is>
      </c>
      <c r="Q3" s="13" t="inlineStr">
        <is>
          <t>VL_OUT_DA</t>
        </is>
      </c>
      <c r="R3" s="13" t="inlineStr">
        <is>
          <t>VL_ABAT_NT</t>
        </is>
      </c>
      <c r="S3" s="13" t="inlineStr">
        <is>
          <t>COD_CTA</t>
        </is>
      </c>
      <c r="T3" s="32" t="inlineStr">
        <is>
          <t>VL_DOC</t>
        </is>
      </c>
      <c r="U3" s="32" t="inlineStr">
        <is>
          <t>VL_DESC</t>
        </is>
      </c>
      <c r="V3" s="32" t="inlineStr">
        <is>
          <t>VL_MERC</t>
        </is>
      </c>
      <c r="W3" s="32" t="inlineStr">
        <is>
          <t>VL_BC_ICMS</t>
        </is>
      </c>
      <c r="X3" s="32" t="inlineStr">
        <is>
          <t>VL_ICMS</t>
        </is>
      </c>
      <c r="Y3" s="32" t="inlineStr">
        <is>
          <t>VL_BC_ICMS_ST</t>
        </is>
      </c>
      <c r="Z3" s="32" t="inlineStr">
        <is>
          <t>VL_ICMS_ST</t>
        </is>
      </c>
      <c r="AA3" s="32" t="inlineStr">
        <is>
          <t>VL_IPI</t>
        </is>
      </c>
      <c r="AB3" s="32" t="inlineStr">
        <is>
          <t>VL_PIS</t>
        </is>
      </c>
      <c r="AC3" s="32" t="inlineStr">
        <is>
          <t>VL_COFINS</t>
        </is>
      </c>
      <c r="AD3" s="32" t="inlineStr">
        <is>
          <t>VL_PIS_ST</t>
        </is>
      </c>
      <c r="AE3" s="32" t="inlineStr">
        <is>
          <t>VL_COFINS_ST</t>
        </is>
      </c>
      <c r="AF3" s="33" t="inlineStr">
        <is>
          <t>NUM_ITEM</t>
        </is>
      </c>
      <c r="AG3" s="33" t="inlineStr">
        <is>
          <t>COD_ITEM</t>
        </is>
      </c>
      <c r="AH3" s="33" t="inlineStr">
        <is>
          <t>DESCR_COMPL</t>
        </is>
      </c>
      <c r="AI3" s="33" t="inlineStr">
        <is>
          <t>QTD</t>
        </is>
      </c>
      <c r="AJ3" s="33" t="inlineStr">
        <is>
          <t>UNID</t>
        </is>
      </c>
      <c r="AK3" s="33" t="inlineStr">
        <is>
          <t>VL_ITEM</t>
        </is>
      </c>
      <c r="AL3" s="33" t="inlineStr">
        <is>
          <t>VL_DESC_ITEM</t>
        </is>
      </c>
      <c r="AM3" s="33" t="inlineStr">
        <is>
          <t>IND_MOV</t>
        </is>
      </c>
      <c r="AN3" s="33" t="inlineStr">
        <is>
          <t>CST_ICMS</t>
        </is>
      </c>
      <c r="AO3" s="33" t="inlineStr">
        <is>
          <t>CFOP</t>
        </is>
      </c>
      <c r="AP3" s="33" t="inlineStr">
        <is>
          <t>COD_NAT</t>
        </is>
      </c>
      <c r="AQ3" s="33" t="inlineStr">
        <is>
          <t>VL_BC_ICMS_ITEM</t>
        </is>
      </c>
      <c r="AR3" s="33" t="inlineStr">
        <is>
          <t>ALIQ_ICMS</t>
        </is>
      </c>
      <c r="AS3" s="33" t="inlineStr">
        <is>
          <t>VL_ICMS_ITEM</t>
        </is>
      </c>
      <c r="AT3" s="33" t="inlineStr">
        <is>
          <t>VL_BC_ICMS_ST_ITEM</t>
        </is>
      </c>
      <c r="AU3" s="33" t="inlineStr">
        <is>
          <t>ALIQ_ST</t>
        </is>
      </c>
      <c r="AV3" s="33" t="inlineStr">
        <is>
          <t>VL_ICMS_ST_ITEM</t>
        </is>
      </c>
      <c r="AW3" s="33" t="inlineStr">
        <is>
          <t>CST_IPI</t>
        </is>
      </c>
      <c r="AX3" s="33" t="inlineStr">
        <is>
          <t>VL_BC_IPI</t>
        </is>
      </c>
      <c r="AY3" s="33" t="inlineStr">
        <is>
          <t>ALIQ_IPI</t>
        </is>
      </c>
      <c r="AZ3" s="33" t="inlineStr">
        <is>
          <t>VL_IPI_ITEM</t>
        </is>
      </c>
      <c r="BA3" s="33" t="inlineStr">
        <is>
          <t>CST_PIS</t>
        </is>
      </c>
      <c r="BB3" s="33" t="inlineStr">
        <is>
          <t>VL_BC_PIS_ITEM</t>
        </is>
      </c>
      <c r="BC3" s="33" t="inlineStr">
        <is>
          <t>ALIQ_PIS_%</t>
        </is>
      </c>
      <c r="BD3" s="33" t="inlineStr">
        <is>
          <t>QUANT_BC_PIS</t>
        </is>
      </c>
      <c r="BE3" s="33" t="inlineStr">
        <is>
          <t>ALIQ_PIS_R$</t>
        </is>
      </c>
      <c r="BF3" s="33" t="inlineStr">
        <is>
          <t>VL_PIS_ITEM</t>
        </is>
      </c>
      <c r="BG3" s="33" t="inlineStr">
        <is>
          <t>CST_COFINS</t>
        </is>
      </c>
      <c r="BH3" s="33" t="inlineStr">
        <is>
          <t>VL_BC_COFINS_ITEM</t>
        </is>
      </c>
      <c r="BI3" s="33" t="inlineStr">
        <is>
          <t>ALIQ_COFINS_%</t>
        </is>
      </c>
      <c r="BJ3" s="33" t="inlineStr">
        <is>
          <t>QUANT_BC_COFINS</t>
        </is>
      </c>
      <c r="BK3" s="33" t="inlineStr">
        <is>
          <t>ALIQ_COFINS_R$</t>
        </is>
      </c>
      <c r="BL3" s="33" t="inlineStr">
        <is>
          <t>VL_COFINS_ITEM</t>
        </is>
      </c>
      <c r="BM3" s="33" t="inlineStr">
        <is>
          <t>COD_CTA_ITEM</t>
        </is>
      </c>
    </row>
    <row r="4">
      <c r="A4" s="14" t="n"/>
      <c r="B4" s="15" t="n"/>
      <c r="C4" s="16" t="n"/>
      <c r="D4" s="16" t="n"/>
      <c r="E4" s="16" t="n"/>
      <c r="F4" s="16" t="n"/>
      <c r="G4" s="16" t="n"/>
      <c r="H4" s="17" t="n"/>
      <c r="I4" s="16" t="n"/>
      <c r="J4" s="17" t="n"/>
      <c r="K4" s="16" t="n"/>
      <c r="L4" s="17" t="n"/>
      <c r="M4" s="17" t="n"/>
      <c r="N4" s="17" t="n"/>
      <c r="O4" s="17" t="n"/>
      <c r="P4" s="17" t="n"/>
      <c r="Q4" s="17" t="n"/>
      <c r="R4" s="17" t="n"/>
      <c r="S4" s="17" t="n"/>
      <c r="T4" s="34" t="inlineStr">
        <is>
          <t>← script</t>
        </is>
      </c>
      <c r="U4" s="34" t="inlineStr">
        <is>
          <t>← script</t>
        </is>
      </c>
      <c r="V4" s="34" t="inlineStr">
        <is>
          <t>← script</t>
        </is>
      </c>
      <c r="W4" s="34" t="inlineStr">
        <is>
          <t>← script</t>
        </is>
      </c>
      <c r="X4" s="34" t="inlineStr">
        <is>
          <t>← script</t>
        </is>
      </c>
      <c r="Y4" s="34" t="inlineStr">
        <is>
          <t>← script</t>
        </is>
      </c>
      <c r="Z4" s="34" t="inlineStr">
        <is>
          <t>← script</t>
        </is>
      </c>
      <c r="AA4" s="34" t="inlineStr">
        <is>
          <t>← script</t>
        </is>
      </c>
      <c r="AB4" s="34" t="inlineStr">
        <is>
          <t>← script</t>
        </is>
      </c>
      <c r="AC4" s="34" t="inlineStr">
        <is>
          <t>← script</t>
        </is>
      </c>
      <c r="AD4" s="34" t="inlineStr">
        <is>
          <t>← script</t>
        </is>
      </c>
      <c r="AE4" s="34" t="inlineStr">
        <is>
          <t>← script</t>
        </is>
      </c>
      <c r="AF4" s="16" t="n"/>
      <c r="AG4" s="16" t="n"/>
      <c r="AH4" s="17" t="n"/>
      <c r="AI4" s="16" t="n"/>
      <c r="AJ4" s="16" t="n"/>
      <c r="AK4" s="16" t="n"/>
      <c r="AL4" s="17" t="n"/>
      <c r="AM4" s="16" t="n"/>
      <c r="AN4" s="17" t="n"/>
      <c r="AO4" s="16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6" t="n"/>
      <c r="BB4" s="17" t="n"/>
      <c r="BC4" s="17" t="n"/>
      <c r="BD4" s="17" t="n"/>
      <c r="BE4" s="17" t="n"/>
      <c r="BF4" s="17" t="n"/>
      <c r="BG4" s="16" t="n"/>
      <c r="BH4" s="17" t="n"/>
      <c r="BI4" s="17" t="n"/>
      <c r="BJ4" s="17" t="n"/>
      <c r="BK4" s="17" t="n"/>
      <c r="BL4" s="17" t="n"/>
      <c r="BM4" s="17" t="n"/>
    </row>
  </sheetData>
  <mergeCells count="5">
    <mergeCell ref="A1:BM1"/>
    <mergeCell ref="A2:B2"/>
    <mergeCell ref="T2:AE2"/>
    <mergeCell ref="AF2:BM2"/>
    <mergeCell ref="C2:S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T4"/>
  <sheetViews>
    <sheetView showGridLines="0" topLeftCell="Y1" workbookViewId="0">
      <pane ySplit="3" topLeftCell="A4" activePane="bottomLeft" state="frozen"/>
      <selection pane="bottomLeft" activeCell="A4" sqref="A4:AT4"/>
    </sheetView>
  </sheetViews>
  <sheetFormatPr baseColWidth="8" defaultRowHeight="15.75"/>
  <cols>
    <col width="17.28515625" bestFit="1" customWidth="1" style="38" min="1" max="1"/>
    <col width="11" bestFit="1" customWidth="1" style="38" min="2" max="2"/>
    <col width="6.85546875" bestFit="1" customWidth="1" style="38" min="3" max="3"/>
    <col width="6.42578125" bestFit="1" customWidth="1" style="38" min="4" max="4"/>
    <col width="16.5703125" bestFit="1" customWidth="1" style="38" min="5" max="5"/>
    <col width="8" customWidth="1" style="38" min="6" max="6"/>
    <col width="7.5703125" bestFit="1" customWidth="1" style="38" min="7" max="7"/>
    <col width="4.7109375" bestFit="1" customWidth="1" style="38" min="8" max="8"/>
    <col width="5" bestFit="1" customWidth="1" style="38" min="9" max="9"/>
    <col width="10.85546875" bestFit="1" customWidth="1" style="38" min="10" max="10"/>
    <col width="9.5703125" bestFit="1" customWidth="1" style="38" min="11" max="11"/>
    <col width="11.5703125" bestFit="1" customWidth="1" style="38" min="12" max="12"/>
    <col width="7.7109375" bestFit="1" customWidth="1" style="38" min="13" max="13"/>
    <col width="7.42578125" bestFit="1" customWidth="1" style="38" min="14" max="14"/>
    <col width="14.140625" bestFit="1" customWidth="1" style="38" min="15" max="15"/>
    <col width="8.5703125" bestFit="1" customWidth="1" style="38" min="16" max="16"/>
    <col width="9.42578125" bestFit="1" customWidth="1" style="38" min="17" max="17"/>
    <col width="7.7109375" bestFit="1" customWidth="1" style="38" min="18" max="18"/>
    <col width="9.140625" bestFit="1" customWidth="1" style="38" min="19" max="19"/>
    <col width="12.7109375" bestFit="1" customWidth="1" style="38" min="20" max="20"/>
    <col width="9.140625" bestFit="1" customWidth="1" style="38" min="21" max="21"/>
    <col width="6.5703125" bestFit="1" customWidth="1" style="38" min="22" max="22"/>
    <col width="10" bestFit="1" customWidth="1" style="38" min="23" max="23"/>
    <col width="9.42578125" bestFit="1" customWidth="1" style="38" min="24" max="24"/>
    <col width="9.85546875" bestFit="1" customWidth="1" style="38" min="25" max="25"/>
    <col width="12.5703125" bestFit="1" customWidth="1" style="38" min="26" max="26"/>
    <col width="7.42578125" bestFit="1" customWidth="1" style="38" min="27" max="27"/>
    <col width="9.140625" bestFit="1" customWidth="1" style="38" min="28" max="28"/>
    <col width="10.85546875" bestFit="1" customWidth="1" style="38" min="29" max="29"/>
    <col width="9.42578125" bestFit="1" customWidth="1" style="38" min="30" max="30"/>
    <col width="11.28515625" bestFit="1" customWidth="1" style="38" min="31" max="31"/>
    <col width="11.5703125" bestFit="1" customWidth="1" style="38" min="32" max="32"/>
    <col width="7.28515625" bestFit="1" customWidth="1" style="38" min="33" max="33"/>
    <col width="12.7109375" bestFit="1" customWidth="1" style="38" min="34" max="35"/>
    <col width="9.85546875" bestFit="1" customWidth="1" style="38" min="36" max="36"/>
    <col width="13.7109375" bestFit="1" customWidth="1" style="38" min="37" max="37"/>
    <col width="7" bestFit="1" customWidth="1" style="38" min="38" max="38"/>
    <col width="9.140625" bestFit="1" customWidth="1" style="38" min="39" max="39"/>
    <col width="14" customWidth="1" style="38" min="40" max="40"/>
    <col width="9.28515625" bestFit="1" customWidth="1" style="38" min="41" max="41"/>
    <col width="11.28515625" bestFit="1" customWidth="1" style="38" min="42" max="42"/>
    <col width="11" bestFit="1" customWidth="1" style="38" min="43" max="43"/>
    <col width="11.5703125" bestFit="1" customWidth="1" style="38" min="44" max="44"/>
    <col width="14" customWidth="1" style="38" min="45" max="45"/>
    <col width="12.7109375" bestFit="1" customWidth="1" style="38" min="46" max="46"/>
    <col width="9.140625" customWidth="1" style="38" min="47" max="16384"/>
  </cols>
  <sheetData>
    <row r="1" ht="30" customHeight="1" s="43">
      <c r="A1" s="37" t="inlineStr">
        <is>
          <t>EFD CONTRIBUIÇÕES  |  D100 + D101 + D105  –  CT-e  |  1 linha = 1 documento</t>
        </is>
      </c>
    </row>
    <row r="2" ht="18" customHeight="1" s="43">
      <c r="A2" s="37" t="inlineStr">
        <is>
          <t>IDENTIFICAÇÃO</t>
        </is>
      </c>
      <c r="C2" s="40" t="inlineStr">
        <is>
          <t>◆ D100 – CONHECIMENTO</t>
        </is>
      </c>
      <c r="Y2" s="41" t="inlineStr">
        <is>
          <t>◆ D101 – PIS</t>
        </is>
      </c>
      <c r="AJ2" s="47" t="inlineStr">
        <is>
          <t>◆ D105 – COFINS</t>
        </is>
      </c>
    </row>
    <row r="3" ht="39.95" customHeight="1" s="43">
      <c r="A3" s="12" t="inlineStr">
        <is>
          <t>CNPJ_ESTAB</t>
        </is>
      </c>
      <c r="B3" s="12" t="inlineStr">
        <is>
          <t>PERÍODO
(MMAAAA)</t>
        </is>
      </c>
      <c r="C3" s="13" t="inlineStr">
        <is>
          <t>IND_OPER</t>
        </is>
      </c>
      <c r="D3" s="13" t="inlineStr">
        <is>
          <t>IND_EMIT</t>
        </is>
      </c>
      <c r="E3" s="13" t="inlineStr">
        <is>
          <t>COD_PART
(Transportadora)</t>
        </is>
      </c>
      <c r="F3" s="13" t="inlineStr">
        <is>
          <t>COD_MOD</t>
        </is>
      </c>
      <c r="G3" s="13" t="inlineStr">
        <is>
          <t>COD_SIT</t>
        </is>
      </c>
      <c r="H3" s="13" t="inlineStr">
        <is>
          <t>SER</t>
        </is>
      </c>
      <c r="I3" s="13" t="inlineStr">
        <is>
          <t>SUB</t>
        </is>
      </c>
      <c r="J3" s="13" t="inlineStr">
        <is>
          <t>NUM_DOC</t>
        </is>
      </c>
      <c r="K3" s="13" t="inlineStr">
        <is>
          <t>CHV_CTE</t>
        </is>
      </c>
      <c r="L3" s="13" t="inlineStr">
        <is>
          <t>DT_DOC</t>
        </is>
      </c>
      <c r="M3" s="13" t="inlineStr">
        <is>
          <t>DT_A_P</t>
        </is>
      </c>
      <c r="N3" s="13" t="inlineStr">
        <is>
          <t>TP_CT_e</t>
        </is>
      </c>
      <c r="O3" s="13" t="inlineStr">
        <is>
          <t>CHV_CTE_REF</t>
        </is>
      </c>
      <c r="P3" s="13" t="inlineStr">
        <is>
          <t>VL_DOC</t>
        </is>
      </c>
      <c r="Q3" s="13" t="inlineStr">
        <is>
          <t>VL_DESC</t>
        </is>
      </c>
      <c r="R3" s="13" t="inlineStr">
        <is>
          <t>IND_FRT</t>
        </is>
      </c>
      <c r="S3" s="13" t="inlineStr">
        <is>
          <t>VL_SERV</t>
        </is>
      </c>
      <c r="T3" s="13" t="inlineStr">
        <is>
          <t>VL_BC_ICMS</t>
        </is>
      </c>
      <c r="U3" s="13" t="inlineStr">
        <is>
          <t>VL_ICMS</t>
        </is>
      </c>
      <c r="V3" s="13" t="inlineStr">
        <is>
          <t>VL_NT</t>
        </is>
      </c>
      <c r="W3" s="13" t="inlineStr">
        <is>
          <t>COD_CTA</t>
        </is>
      </c>
      <c r="X3" s="13" t="inlineStr">
        <is>
          <t>COD_INF</t>
        </is>
      </c>
      <c r="Y3" s="33" t="inlineStr">
        <is>
          <t>IND_NAT_FRT</t>
        </is>
      </c>
      <c r="Z3" s="33" t="inlineStr">
        <is>
          <t>VL_ITEM_PIS</t>
        </is>
      </c>
      <c r="AA3" s="33" t="inlineStr">
        <is>
          <t>CST_PIS</t>
        </is>
      </c>
      <c r="AB3" s="33" t="inlineStr">
        <is>
          <t>NAT_BC_CRED</t>
        </is>
      </c>
      <c r="AC3" s="33" t="inlineStr">
        <is>
          <t>VL_BC_PIS</t>
        </is>
      </c>
      <c r="AD3" s="33" t="inlineStr">
        <is>
          <t>ALIQ_PIS_%</t>
        </is>
      </c>
      <c r="AE3" s="33" t="inlineStr">
        <is>
          <t>QUANT_BC_PIS</t>
        </is>
      </c>
      <c r="AF3" s="33" t="inlineStr">
        <is>
          <t>ALIQ_PIS_R$</t>
        </is>
      </c>
      <c r="AG3" s="33" t="inlineStr">
        <is>
          <t>VL_PIS</t>
        </is>
      </c>
      <c r="AH3" s="33" t="inlineStr">
        <is>
          <t>COD_CTA_PIS</t>
        </is>
      </c>
      <c r="AI3" s="33" t="inlineStr">
        <is>
          <t>COD_CCUS_PIS</t>
        </is>
      </c>
      <c r="AJ3" s="36" t="inlineStr">
        <is>
          <t>IND_NAT_FRT</t>
        </is>
      </c>
      <c r="AK3" s="36" t="inlineStr">
        <is>
          <t>VL_ITEM_COF</t>
        </is>
      </c>
      <c r="AL3" s="36" t="inlineStr">
        <is>
          <t>CST_COFINS</t>
        </is>
      </c>
      <c r="AM3" s="36" t="inlineStr">
        <is>
          <t>NAT_BC_CRED</t>
        </is>
      </c>
      <c r="AN3" s="36" t="inlineStr">
        <is>
          <t>VL_BC_COFINS</t>
        </is>
      </c>
      <c r="AO3" s="36" t="inlineStr">
        <is>
          <t>ALIQ_COFINS_%</t>
        </is>
      </c>
      <c r="AP3" s="36" t="inlineStr">
        <is>
          <t>QUANT_BC_COF</t>
        </is>
      </c>
      <c r="AQ3" s="36" t="inlineStr">
        <is>
          <t>ALIQ_COFINS_R$</t>
        </is>
      </c>
      <c r="AR3" s="36" t="inlineStr">
        <is>
          <t>VL_COFINS</t>
        </is>
      </c>
      <c r="AS3" s="36" t="inlineStr">
        <is>
          <t>COD_CTA_COF</t>
        </is>
      </c>
      <c r="AT3" s="36" t="inlineStr">
        <is>
          <t>COD_CCUS_COF</t>
        </is>
      </c>
    </row>
    <row r="4">
      <c r="A4" s="14" t="n"/>
      <c r="B4" s="15" t="n"/>
      <c r="C4" s="16" t="n"/>
      <c r="D4" s="16" t="n"/>
      <c r="E4" s="16" t="n"/>
      <c r="F4" s="16" t="n"/>
      <c r="G4" s="16" t="n"/>
      <c r="H4" s="17" t="n"/>
      <c r="I4" s="17" t="n"/>
      <c r="J4" s="16" t="n"/>
      <c r="K4" s="17" t="n"/>
      <c r="L4" s="16" t="n"/>
      <c r="M4" s="17" t="n"/>
      <c r="N4" s="17" t="n"/>
      <c r="O4" s="17" t="n"/>
      <c r="P4" s="16" t="n"/>
      <c r="Q4" s="17" t="n"/>
      <c r="R4" s="16" t="n"/>
      <c r="S4" s="17" t="n"/>
      <c r="T4" s="17" t="n"/>
      <c r="U4" s="17" t="n"/>
      <c r="V4" s="17" t="n"/>
      <c r="W4" s="17" t="n"/>
      <c r="X4" s="17" t="n"/>
      <c r="Y4" s="16" t="n"/>
      <c r="Z4" s="16" t="n"/>
      <c r="AA4" s="16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6" t="n"/>
      <c r="AK4" s="16" t="n"/>
      <c r="AL4" s="16" t="n"/>
      <c r="AM4" s="17" t="n"/>
      <c r="AN4" s="17" t="n"/>
      <c r="AO4" s="17" t="n"/>
      <c r="AP4" s="17" t="n"/>
      <c r="AQ4" s="17" t="n"/>
      <c r="AR4" s="17" t="n"/>
      <c r="AS4" s="17" t="n"/>
      <c r="AT4" s="17" t="n"/>
    </row>
  </sheetData>
  <mergeCells count="5">
    <mergeCell ref="C2:X2"/>
    <mergeCell ref="A2:B2"/>
    <mergeCell ref="Y2:AI2"/>
    <mergeCell ref="AJ2:AT2"/>
    <mergeCell ref="A1:AT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43" min="1" max="1"/>
    <col width="12" customWidth="1" style="43" min="2" max="2"/>
    <col width="14" customWidth="1" style="43" min="3" max="3"/>
    <col width="8" customWidth="1" style="43" min="4" max="4"/>
    <col width="8" customWidth="1" style="43" min="5" max="5"/>
    <col width="12" customWidth="1" style="43" min="6" max="6"/>
    <col width="8" customWidth="1" style="43" min="7" max="7"/>
    <col width="16" customWidth="1" style="43" min="8" max="8"/>
    <col width="12" customWidth="1" style="43" min="9" max="9"/>
    <col width="12" customWidth="1" style="43" min="10" max="10"/>
    <col width="14" customWidth="1" style="43" min="11" max="11"/>
    <col width="12" customWidth="1" style="43" min="12" max="12"/>
    <col width="14" customWidth="1" style="43" min="13" max="13"/>
    <col width="48" customWidth="1" style="43" min="14" max="14"/>
    <col width="12" customWidth="1" style="43" min="15" max="15"/>
    <col width="12" customWidth="1" style="43" min="16" max="16"/>
    <col width="8" customWidth="1" style="43" min="17" max="17"/>
    <col width="14" customWidth="1" style="43" min="18" max="18"/>
    <col width="10" customWidth="1" style="43" min="19" max="19"/>
    <col width="14" customWidth="1" style="43" min="20" max="20"/>
    <col width="10" customWidth="1" style="43" min="21" max="21"/>
    <col width="12" customWidth="1" style="43" min="22" max="22"/>
    <col width="16" customWidth="1" style="43" min="23" max="23"/>
    <col width="8" customWidth="1" style="43" min="24" max="24"/>
    <col width="14" customWidth="1" style="43" min="25" max="25"/>
    <col width="10" customWidth="1" style="43" min="26" max="26"/>
    <col width="14" customWidth="1" style="43" min="27" max="27"/>
    <col width="10" customWidth="1" style="43" min="28" max="28"/>
    <col width="12" customWidth="1" style="43" min="29" max="29"/>
    <col width="16" customWidth="1" style="43" min="30" max="30"/>
  </cols>
  <sheetData>
    <row r="1" ht="30" customHeight="1" s="43">
      <c r="A1" s="54" t="inlineStr">
        <is>
          <t>EFD CONTRIBUIÇÕES  |  C500 + C501 + C505  –  NF Energia/Comunicação/Gás/Água  |  1 linha = 1 documento  |  Campos CINZA calculados pelo script</t>
        </is>
      </c>
    </row>
    <row r="2" ht="18" customHeight="1" s="43">
      <c r="A2" s="55" t="inlineStr">
        <is>
          <t>IDENTIFICAÇÃO</t>
        </is>
      </c>
      <c r="C2" s="56" t="inlineStr">
        <is>
          <t>◆ C500 – CABEÇALHO (preencher)</t>
        </is>
      </c>
      <c r="O2" s="57" t="inlineStr">
        <is>
          <t>◆ C500 – TOTAIS (script)</t>
        </is>
      </c>
      <c r="Q2" s="58" t="inlineStr">
        <is>
          <t>◆ C501 – PIS (preencher)</t>
        </is>
      </c>
      <c r="X2" s="59" t="inlineStr">
        <is>
          <t>◆ C505 – COFINS (preencher)</t>
        </is>
      </c>
    </row>
    <row r="3" ht="40" customHeight="1" s="43">
      <c r="A3" s="60" t="inlineStr">
        <is>
          <t>CNPJ_ESTAB</t>
        </is>
      </c>
      <c r="B3" s="60" t="inlineStr">
        <is>
          <t>PERÍODO
(MMAAAA)</t>
        </is>
      </c>
      <c r="C3" s="61" t="inlineStr">
        <is>
          <t>COD_PART</t>
        </is>
      </c>
      <c r="D3" s="61" t="inlineStr">
        <is>
          <t>COD_MOD</t>
        </is>
      </c>
      <c r="E3" s="61" t="inlineStr">
        <is>
          <t>COD_SIT</t>
        </is>
      </c>
      <c r="F3" s="61" t="inlineStr">
        <is>
          <t>COD_SIT_ESP</t>
        </is>
      </c>
      <c r="G3" s="61" t="inlineStr">
        <is>
          <t>IND_EMIT</t>
        </is>
      </c>
      <c r="H3" s="61" t="inlineStr">
        <is>
          <t>NUM_DOC</t>
        </is>
      </c>
      <c r="I3" s="61" t="inlineStr">
        <is>
          <t>DT_DOC</t>
        </is>
      </c>
      <c r="J3" s="61" t="inlineStr">
        <is>
          <t>DT_ENT</t>
        </is>
      </c>
      <c r="K3" s="61" t="inlineStr">
        <is>
          <t>VL_DOC</t>
        </is>
      </c>
      <c r="L3" s="61" t="inlineStr">
        <is>
          <t>VL_DESC</t>
        </is>
      </c>
      <c r="M3" s="61" t="inlineStr">
        <is>
          <t>VL_MERC</t>
        </is>
      </c>
      <c r="N3" s="61" t="inlineStr">
        <is>
          <t>CHV_DOCe</t>
        </is>
      </c>
      <c r="O3" s="62" t="inlineStr">
        <is>
          <t>VL_PIS</t>
        </is>
      </c>
      <c r="P3" s="62" t="inlineStr">
        <is>
          <t>VL_COFINS</t>
        </is>
      </c>
      <c r="Q3" s="63" t="inlineStr">
        <is>
          <t>CST_PIS</t>
        </is>
      </c>
      <c r="R3" s="63" t="inlineStr">
        <is>
          <t>VL_BC_PIS</t>
        </is>
      </c>
      <c r="S3" s="63" t="inlineStr">
        <is>
          <t>NAT_BC_CRED</t>
        </is>
      </c>
      <c r="T3" s="63" t="inlineStr">
        <is>
          <t>VL_BC_PIS_2</t>
        </is>
      </c>
      <c r="U3" s="63" t="inlineStr">
        <is>
          <t>ALIQ_PIS</t>
        </is>
      </c>
      <c r="V3" s="63" t="inlineStr">
        <is>
          <t>VL_PIS_501</t>
        </is>
      </c>
      <c r="W3" s="63" t="inlineStr">
        <is>
          <t>COD_CTA_501</t>
        </is>
      </c>
      <c r="X3" s="64" t="inlineStr">
        <is>
          <t>CST_COFINS</t>
        </is>
      </c>
      <c r="Y3" s="64" t="inlineStr">
        <is>
          <t>VL_BC_COFINS</t>
        </is>
      </c>
      <c r="Z3" s="64" t="inlineStr">
        <is>
          <t>NAT_BC_CRED</t>
        </is>
      </c>
      <c r="AA3" s="64" t="inlineStr">
        <is>
          <t>VL_BC_COFINS_2</t>
        </is>
      </c>
      <c r="AB3" s="64" t="inlineStr">
        <is>
          <t>ALIQ_COFINS</t>
        </is>
      </c>
      <c r="AC3" s="64" t="inlineStr">
        <is>
          <t>VL_COFINS_505</t>
        </is>
      </c>
      <c r="AD3" s="64" t="inlineStr">
        <is>
          <t>COD_CTA_505</t>
        </is>
      </c>
    </row>
    <row r="4">
      <c r="A4" s="65" t="inlineStr">
        <is>
          <t>00000000000000</t>
        </is>
      </c>
      <c r="B4" s="66" t="inlineStr">
        <is>
          <t>102022</t>
        </is>
      </c>
      <c r="C4" s="67" t="inlineStr">
        <is>
          <t>450470</t>
        </is>
      </c>
      <c r="D4" s="67" t="inlineStr">
        <is>
          <t>01</t>
        </is>
      </c>
      <c r="E4" s="67" t="inlineStr">
        <is>
          <t>00</t>
        </is>
      </c>
      <c r="F4" s="68" t="inlineStr"/>
      <c r="G4" s="67" t="inlineStr">
        <is>
          <t>0</t>
        </is>
      </c>
      <c r="H4" s="67" t="inlineStr">
        <is>
          <t>112468</t>
        </is>
      </c>
      <c r="I4" s="67" t="inlineStr">
        <is>
          <t>17/10/2022</t>
        </is>
      </c>
      <c r="J4" s="68" t="inlineStr">
        <is>
          <t>27/10/2022</t>
        </is>
      </c>
      <c r="K4" s="67" t="inlineStr">
        <is>
          <t>25469,21</t>
        </is>
      </c>
      <c r="L4" s="68" t="inlineStr">
        <is>
          <t>0,00</t>
        </is>
      </c>
      <c r="M4" s="68" t="inlineStr"/>
      <c r="N4" s="68" t="inlineStr"/>
      <c r="O4" s="69" t="inlineStr">
        <is>
          <t>← script</t>
        </is>
      </c>
      <c r="P4" s="69" t="inlineStr">
        <is>
          <t>← script</t>
        </is>
      </c>
      <c r="Q4" s="67" t="inlineStr">
        <is>
          <t>50</t>
        </is>
      </c>
      <c r="R4" s="68" t="inlineStr">
        <is>
          <t>25469,21</t>
        </is>
      </c>
      <c r="S4" s="68" t="inlineStr">
        <is>
          <t>04</t>
        </is>
      </c>
      <c r="T4" s="68" t="inlineStr">
        <is>
          <t>25469,21</t>
        </is>
      </c>
      <c r="U4" s="68" t="inlineStr">
        <is>
          <t>1,65</t>
        </is>
      </c>
      <c r="V4" s="68" t="inlineStr">
        <is>
          <t>420,24</t>
        </is>
      </c>
      <c r="W4" s="68" t="inlineStr">
        <is>
          <t>55111101</t>
        </is>
      </c>
      <c r="X4" s="67" t="inlineStr">
        <is>
          <t>50</t>
        </is>
      </c>
      <c r="Y4" s="68" t="inlineStr">
        <is>
          <t>25469,21</t>
        </is>
      </c>
      <c r="Z4" s="68" t="inlineStr">
        <is>
          <t>04</t>
        </is>
      </c>
      <c r="AA4" s="68" t="inlineStr">
        <is>
          <t>25469,21</t>
        </is>
      </c>
      <c r="AB4" s="68" t="inlineStr">
        <is>
          <t>7,60</t>
        </is>
      </c>
      <c r="AC4" s="68" t="inlineStr">
        <is>
          <t>1935,66</t>
        </is>
      </c>
      <c r="AD4" s="68" t="inlineStr">
        <is>
          <t>55111101</t>
        </is>
      </c>
    </row>
  </sheetData>
  <mergeCells count="6">
    <mergeCell ref="O2:P2"/>
    <mergeCell ref="A2:B2"/>
    <mergeCell ref="C2:N2"/>
    <mergeCell ref="Q2:W2"/>
    <mergeCell ref="X2:AD2"/>
    <mergeCell ref="A1:A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43" min="1" max="1"/>
    <col width="12" customWidth="1" style="43" min="2" max="2"/>
    <col width="14" customWidth="1" style="43" min="3" max="3"/>
    <col width="16" customWidth="1" style="43" min="4" max="4"/>
    <col width="8" customWidth="1" style="43" min="5" max="5"/>
    <col width="16" customWidth="1" style="43" min="6" max="6"/>
    <col width="40" customWidth="1" style="43" min="7" max="7"/>
    <col width="20" customWidth="1" style="43" min="8" max="8"/>
    <col width="20" customWidth="1" style="43" min="9" max="9"/>
  </cols>
  <sheetData>
    <row r="1" ht="30" customHeight="1" s="43">
      <c r="A1" s="54" t="inlineStr">
        <is>
          <t>EFD CONTRIBUIÇÕES  |  0500 – Plano de Contas Contábeis  ★ base cadastral geral</t>
        </is>
      </c>
    </row>
    <row r="2" ht="36" customHeight="1" s="43">
      <c r="A2" s="61" t="inlineStr">
        <is>
          <t>PERÍODO
(MMAAAA)</t>
        </is>
      </c>
      <c r="B2" s="61" t="inlineStr">
        <is>
          <t>DT_ALT
(DDMMAAAA)</t>
        </is>
      </c>
      <c r="C2" s="61" t="inlineStr">
        <is>
          <t>COD_NAT_CC
(01-05/09)</t>
        </is>
      </c>
      <c r="D2" s="61" t="inlineStr">
        <is>
          <t>IND_CTA
(S=Sint./A=Anal.)</t>
        </is>
      </c>
      <c r="E2" s="61" t="inlineStr">
        <is>
          <t>NÍVEL</t>
        </is>
      </c>
      <c r="F2" s="61" t="inlineStr">
        <is>
          <t>COD_CTA</t>
        </is>
      </c>
      <c r="G2" s="61" t="inlineStr">
        <is>
          <t>NOME_CTA</t>
        </is>
      </c>
      <c r="H2" s="61" t="inlineStr">
        <is>
          <t>COD_CTA_SUP</t>
        </is>
      </c>
      <c r="I2" s="61" t="inlineStr">
        <is>
          <t>COD_CTA_REF</t>
        </is>
      </c>
    </row>
    <row r="3">
      <c r="A3" s="70" t="inlineStr">
        <is>
          <t>102021</t>
        </is>
      </c>
      <c r="B3" s="70" t="inlineStr">
        <is>
          <t>31122017</t>
        </is>
      </c>
      <c r="C3" s="70" t="inlineStr">
        <is>
          <t>04</t>
        </is>
      </c>
      <c r="D3" s="70" t="inlineStr">
        <is>
          <t>A</t>
        </is>
      </c>
      <c r="E3" s="70" t="inlineStr">
        <is>
          <t>5</t>
        </is>
      </c>
      <c r="F3" s="70" t="inlineStr">
        <is>
          <t>55111101</t>
        </is>
      </c>
      <c r="G3" s="70" t="inlineStr">
        <is>
          <t>Funcionarios temporarios - agencias</t>
        </is>
      </c>
      <c r="H3" s="71" t="inlineStr"/>
      <c r="I3" s="71" t="inlineStr"/>
    </row>
  </sheetData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style="43" min="1" max="1"/>
    <col width="12" customWidth="1" style="43" min="2" max="2"/>
    <col width="9" customWidth="1" style="43" min="3" max="3"/>
    <col width="14" customWidth="1" style="43" min="4" max="4"/>
    <col width="16" customWidth="1" style="43" min="5" max="5"/>
    <col width="12" customWidth="1" style="43" min="6" max="6"/>
    <col width="14" customWidth="1" style="43" min="7" max="7"/>
    <col width="8" customWidth="1" style="43" min="8" max="8"/>
    <col width="14" customWidth="1" style="43" min="9" max="9"/>
    <col width="10" customWidth="1" style="43" min="10" max="10"/>
    <col width="12" customWidth="1" style="43" min="11" max="11"/>
    <col width="8" customWidth="1" style="43" min="12" max="12"/>
    <col width="14" customWidth="1" style="43" min="13" max="13"/>
    <col width="10" customWidth="1" style="43" min="14" max="14"/>
    <col width="12" customWidth="1" style="43" min="15" max="15"/>
    <col width="12" customWidth="1" style="43" min="16" max="16"/>
    <col width="8" customWidth="1" style="43" min="17" max="17"/>
    <col width="16" customWidth="1" style="43" min="18" max="18"/>
    <col width="16" customWidth="1" style="43" min="19" max="19"/>
    <col width="40" customWidth="1" style="43" min="20" max="20"/>
  </cols>
  <sheetData>
    <row r="1" ht="28" customHeight="1" s="43">
      <c r="A1" s="72" t="inlineStr">
        <is>
          <t>EFD CONTRIBUIÇÕES  |  F100 – Demais Documentos e Operações  |  19 campos conforme Manual v1.35  |  SEM QUANT_BC / ALIQ_R$ / COD_MOD</t>
        </is>
      </c>
    </row>
    <row r="2" ht="36" customHeight="1" s="43">
      <c r="A2" s="73" t="inlineStr">
        <is>
          <t>CNPJ_ESTAB</t>
        </is>
      </c>
      <c r="B2" s="74" t="inlineStr">
        <is>
          <t>PERÍODO
(MMAAAA)</t>
        </is>
      </c>
      <c r="C2" s="61" t="inlineStr">
        <is>
          <t>IND_OPER</t>
        </is>
      </c>
      <c r="D2" s="61" t="inlineStr">
        <is>
          <t>COD_PART</t>
        </is>
      </c>
      <c r="E2" s="61" t="inlineStr">
        <is>
          <t>COD_ITEM</t>
        </is>
      </c>
      <c r="F2" s="61" t="inlineStr">
        <is>
          <t>DT_OPER</t>
        </is>
      </c>
      <c r="G2" s="61" t="inlineStr">
        <is>
          <t>VL_OPER</t>
        </is>
      </c>
      <c r="H2" s="63" t="inlineStr">
        <is>
          <t>CST_PIS</t>
        </is>
      </c>
      <c r="I2" s="63" t="inlineStr">
        <is>
          <t>VL_BC_PIS</t>
        </is>
      </c>
      <c r="J2" s="63" t="inlineStr">
        <is>
          <t>ALIQ_PIS_%</t>
        </is>
      </c>
      <c r="K2" s="63" t="inlineStr">
        <is>
          <t>VL_PIS</t>
        </is>
      </c>
      <c r="L2" s="64" t="inlineStr">
        <is>
          <t>CST_COFINS</t>
        </is>
      </c>
      <c r="M2" s="64" t="inlineStr">
        <is>
          <t>VL_BC_COFINS</t>
        </is>
      </c>
      <c r="N2" s="64" t="inlineStr">
        <is>
          <t>ALIQ_COFINS_%</t>
        </is>
      </c>
      <c r="O2" s="64" t="inlineStr">
        <is>
          <t>VL_COFINS</t>
        </is>
      </c>
      <c r="P2" s="61" t="inlineStr">
        <is>
          <t>NAT_BC_CRED</t>
        </is>
      </c>
      <c r="Q2" s="61" t="inlineStr">
        <is>
          <t>IND_ORIG_CRED</t>
        </is>
      </c>
      <c r="R2" s="61" t="inlineStr">
        <is>
          <t>COD_CTA</t>
        </is>
      </c>
      <c r="S2" s="61" t="inlineStr">
        <is>
          <t>COD_CCUS</t>
        </is>
      </c>
      <c r="T2" s="61" t="inlineStr">
        <is>
          <t>DES_COMPL</t>
        </is>
      </c>
    </row>
    <row r="3">
      <c r="A3" s="67" t="inlineStr">
        <is>
          <t>03022008000147</t>
        </is>
      </c>
      <c r="B3" s="67" t="inlineStr">
        <is>
          <t>102021</t>
        </is>
      </c>
      <c r="C3" s="67" t="inlineStr">
        <is>
          <t>1</t>
        </is>
      </c>
      <c r="D3" s="68" t="inlineStr">
        <is>
          <t>459001</t>
        </is>
      </c>
      <c r="E3" s="68" t="inlineStr">
        <is>
          <t>SERV001</t>
        </is>
      </c>
      <c r="F3" s="67" t="inlineStr">
        <is>
          <t>15102021</t>
        </is>
      </c>
      <c r="G3" s="67" t="inlineStr">
        <is>
          <t>5000,00</t>
        </is>
      </c>
      <c r="H3" s="67" t="inlineStr">
        <is>
          <t>50</t>
        </is>
      </c>
      <c r="I3" s="68" t="inlineStr">
        <is>
          <t>5000,00</t>
        </is>
      </c>
      <c r="J3" s="68" t="inlineStr">
        <is>
          <t>1,65</t>
        </is>
      </c>
      <c r="K3" s="68" t="inlineStr">
        <is>
          <t>82,50</t>
        </is>
      </c>
      <c r="L3" s="67" t="inlineStr">
        <is>
          <t>50</t>
        </is>
      </c>
      <c r="M3" s="68" t="inlineStr">
        <is>
          <t>5000,00</t>
        </is>
      </c>
      <c r="N3" s="68" t="inlineStr">
        <is>
          <t>7,60</t>
        </is>
      </c>
      <c r="O3" s="68" t="inlineStr">
        <is>
          <t>380,00</t>
        </is>
      </c>
      <c r="P3" s="67" t="inlineStr">
        <is>
          <t>01</t>
        </is>
      </c>
      <c r="Q3" s="67" t="inlineStr">
        <is>
          <t>0</t>
        </is>
      </c>
      <c r="R3" s="68" t="inlineStr">
        <is>
          <t>92110101</t>
        </is>
      </c>
      <c r="S3" s="68" t="inlineStr"/>
      <c r="T3" s="68" t="inlineStr">
        <is>
          <t>Descricao op.</t>
        </is>
      </c>
    </row>
  </sheetData>
  <mergeCells count="1">
    <mergeCell ref="A1:T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3"/>
  <sheetViews>
    <sheetView showGridLines="0" topLeftCell="G1" workbookViewId="0">
      <pane ySplit="2" topLeftCell="A3" activePane="bottomLeft" state="frozen"/>
      <selection pane="bottomLeft" activeCell="A3" sqref="A3:X3"/>
    </sheetView>
  </sheetViews>
  <sheetFormatPr baseColWidth="8" defaultRowHeight="15.75"/>
  <cols>
    <col width="17.28515625" bestFit="1" customWidth="1" style="38" min="1" max="1"/>
    <col width="11" bestFit="1" customWidth="1" style="38" min="2" max="2"/>
    <col width="11.85546875" bestFit="1" customWidth="1" style="38" min="3" max="3"/>
    <col width="17.85546875" bestFit="1" customWidth="1" style="38" min="4" max="4"/>
    <col width="8.7109375" bestFit="1" customWidth="1" style="38" min="5" max="5"/>
    <col width="12.5703125" bestFit="1" customWidth="1" style="38" min="6" max="6"/>
    <col width="12.85546875" bestFit="1" customWidth="1" style="38" min="7" max="7"/>
    <col width="13.7109375" bestFit="1" customWidth="1" style="38" min="8" max="8"/>
    <col width="7.42578125" bestFit="1" customWidth="1" style="38" min="9" max="9"/>
    <col width="10.85546875" bestFit="1" customWidth="1" style="38" min="10" max="10"/>
    <col width="9.42578125" bestFit="1" customWidth="1" style="38" min="11" max="11"/>
    <col width="11.28515625" bestFit="1" customWidth="1" style="38" min="12" max="12"/>
    <col width="11.5703125" bestFit="1" customWidth="1" style="38" min="13" max="13"/>
    <col width="7.28515625" bestFit="1" customWidth="1" style="38" min="14" max="14"/>
    <col width="7" bestFit="1" customWidth="1" style="38" min="15" max="15"/>
    <col width="14" customWidth="1" style="38" min="16" max="16"/>
    <col width="9.28515625" bestFit="1" customWidth="1" style="38" min="17" max="17"/>
    <col width="11.28515625" bestFit="1" customWidth="1" style="38" min="18" max="18"/>
    <col width="11" bestFit="1" customWidth="1" style="38" min="19" max="19"/>
    <col width="11.5703125" bestFit="1" customWidth="1" style="38" min="20" max="20"/>
    <col width="10" bestFit="1" customWidth="1" style="38" min="21" max="21"/>
    <col width="11.85546875" bestFit="1" customWidth="1" style="38" min="22" max="22"/>
    <col width="18.42578125" bestFit="1" customWidth="1" style="38" min="23" max="23"/>
    <col width="8" customWidth="1" style="38" min="24" max="24"/>
    <col width="9.140625" customWidth="1" style="38" min="25" max="16384"/>
  </cols>
  <sheetData>
    <row r="1" ht="30" customHeight="1" s="43">
      <c r="A1" s="37" t="inlineStr">
        <is>
          <t>EFD CONTRIBUIÇÕES  |  F120  –  Ativo Imobilizado – Crédito por Depreciação</t>
        </is>
      </c>
    </row>
    <row r="2" ht="36" customHeight="1" s="43">
      <c r="A2" s="12" t="inlineStr">
        <is>
          <t>CNPJ_ESTAB</t>
        </is>
      </c>
      <c r="B2" s="12" t="inlineStr">
        <is>
          <t>PERÍODO
(MMAAAA)</t>
        </is>
      </c>
      <c r="C2" s="13" t="inlineStr">
        <is>
          <t>NAT_BC_CRED</t>
        </is>
      </c>
      <c r="D2" s="13" t="inlineStr">
        <is>
          <t>IDENT_BEM_IMOB</t>
        </is>
      </c>
      <c r="E2" s="13" t="inlineStr">
        <is>
          <t>IND_ORIG_CRED</t>
        </is>
      </c>
      <c r="F2" s="13" t="inlineStr">
        <is>
          <t>IND_UTIL_BEM_IMOB</t>
        </is>
      </c>
      <c r="G2" s="13" t="inlineStr">
        <is>
          <t>VL_OPER_DEP</t>
        </is>
      </c>
      <c r="H2" s="13" t="inlineStr">
        <is>
          <t>PARC_NAO_BC</t>
        </is>
      </c>
      <c r="I2" s="13" t="inlineStr">
        <is>
          <t>CST_PIS</t>
        </is>
      </c>
      <c r="J2" s="13" t="inlineStr">
        <is>
          <t>VL_BC_PIS</t>
        </is>
      </c>
      <c r="K2" s="13" t="inlineStr">
        <is>
          <t>ALIQ_PIS_%</t>
        </is>
      </c>
      <c r="L2" s="13" t="inlineStr">
        <is>
          <t>QUANT_BC_PIS</t>
        </is>
      </c>
      <c r="M2" s="13" t="inlineStr">
        <is>
          <t>ALIQ_PIS_R$</t>
        </is>
      </c>
      <c r="N2" s="13" t="inlineStr">
        <is>
          <t>VL_PIS</t>
        </is>
      </c>
      <c r="O2" s="13" t="inlineStr">
        <is>
          <t>CST_COFINS</t>
        </is>
      </c>
      <c r="P2" s="13" t="inlineStr">
        <is>
          <t>VL_BC_COFINS</t>
        </is>
      </c>
      <c r="Q2" s="13" t="inlineStr">
        <is>
          <t>ALIQ_COFINS_%</t>
        </is>
      </c>
      <c r="R2" s="13" t="inlineStr">
        <is>
          <t>QUANT_BC_COF</t>
        </is>
      </c>
      <c r="S2" s="13" t="inlineStr">
        <is>
          <t>ALIQ_COFINS_R$</t>
        </is>
      </c>
      <c r="T2" s="13" t="inlineStr">
        <is>
          <t>VL_COFINS</t>
        </is>
      </c>
      <c r="U2" s="13" t="inlineStr">
        <is>
          <t>COD_CTA</t>
        </is>
      </c>
      <c r="V2" s="13" t="inlineStr">
        <is>
          <t>COD_CCUS</t>
        </is>
      </c>
      <c r="W2" s="13" t="inlineStr">
        <is>
          <t>DES_COMPL</t>
        </is>
      </c>
      <c r="X2" s="13" t="inlineStr">
        <is>
          <t>COD_MOD</t>
        </is>
      </c>
    </row>
    <row r="3">
      <c r="A3" s="14" t="n"/>
      <c r="B3" s="15" t="n"/>
      <c r="C3" s="16" t="n"/>
      <c r="D3" s="16" t="n"/>
      <c r="E3" s="16" t="n"/>
      <c r="F3" s="16" t="n"/>
      <c r="G3" s="16" t="n"/>
      <c r="H3" s="17" t="n"/>
      <c r="I3" s="16" t="n"/>
      <c r="J3" s="17" t="n"/>
      <c r="K3" s="17" t="n"/>
      <c r="L3" s="17" t="n"/>
      <c r="M3" s="17" t="n"/>
      <c r="N3" s="17" t="n"/>
      <c r="O3" s="16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</row>
  </sheetData>
  <mergeCells count="1">
    <mergeCell ref="A1:X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3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.75"/>
  <cols>
    <col width="17.28515625" bestFit="1" customWidth="1" style="38" min="1" max="1"/>
    <col width="11" bestFit="1" customWidth="1" style="38" min="2" max="2"/>
    <col width="11.85546875" bestFit="1" customWidth="1" style="38" min="3" max="3"/>
    <col width="17.85546875" bestFit="1" customWidth="1" style="38" min="4" max="4"/>
    <col width="8.7109375" bestFit="1" customWidth="1" style="38" min="5" max="5"/>
    <col width="12.5703125" bestFit="1" customWidth="1" style="38" min="6" max="6"/>
    <col width="10" customWidth="1" style="38" min="7" max="7"/>
    <col width="13.28515625" bestFit="1" customWidth="1" style="38" min="8" max="8"/>
    <col width="13.7109375" bestFit="1" customWidth="1" style="38" min="9" max="9"/>
    <col width="13.140625" bestFit="1" customWidth="1" style="38" min="10" max="10"/>
    <col width="8" customWidth="1" style="38" min="11" max="11"/>
    <col width="7.42578125" bestFit="1" customWidth="1" style="38" min="12" max="12"/>
    <col width="10.85546875" bestFit="1" customWidth="1" style="38" min="13" max="13"/>
    <col width="9.42578125" bestFit="1" customWidth="1" style="38" min="14" max="14"/>
    <col width="11.28515625" bestFit="1" customWidth="1" style="38" min="15" max="15"/>
    <col width="11.5703125" bestFit="1" customWidth="1" style="38" min="16" max="16"/>
    <col width="7.28515625" bestFit="1" customWidth="1" style="38" min="17" max="17"/>
    <col width="7" bestFit="1" customWidth="1" style="38" min="18" max="18"/>
    <col width="14" customWidth="1" style="38" min="19" max="19"/>
    <col width="9.28515625" bestFit="1" customWidth="1" style="38" min="20" max="20"/>
    <col width="11.28515625" bestFit="1" customWidth="1" style="38" min="21" max="21"/>
    <col width="11" bestFit="1" customWidth="1" style="38" min="22" max="22"/>
    <col width="11.5703125" bestFit="1" customWidth="1" style="38" min="23" max="23"/>
    <col width="10" bestFit="1" customWidth="1" style="38" min="24" max="24"/>
    <col width="11.85546875" bestFit="1" customWidth="1" style="38" min="25" max="25"/>
    <col width="19" bestFit="1" customWidth="1" style="38" min="26" max="26"/>
    <col width="8" customWidth="1" style="38" min="27" max="27"/>
    <col width="9.140625" customWidth="1" style="38" min="28" max="16384"/>
  </cols>
  <sheetData>
    <row r="1" ht="30" customHeight="1" s="43">
      <c r="A1" s="37" t="inlineStr">
        <is>
          <t>EFD CONTRIBUIÇÕES  |  F130  –  Ativo Imobilizado – Crédito por Valor de Aquisição</t>
        </is>
      </c>
    </row>
    <row r="2" ht="36" customHeight="1" s="43">
      <c r="A2" s="12" t="inlineStr">
        <is>
          <t>CNPJ_ESTAB</t>
        </is>
      </c>
      <c r="B2" s="12" t="inlineStr">
        <is>
          <t>PERÍODO
(MMAAAA)</t>
        </is>
      </c>
      <c r="C2" s="13" t="inlineStr">
        <is>
          <t>NAT_BC_CRED</t>
        </is>
      </c>
      <c r="D2" s="13" t="inlineStr">
        <is>
          <t>IDENT_BEM_IMOB</t>
        </is>
      </c>
      <c r="E2" s="13" t="inlineStr">
        <is>
          <t>IND_ORIG_CRED</t>
        </is>
      </c>
      <c r="F2" s="13" t="inlineStr">
        <is>
          <t>IND_UTIL_BEM_IMOB</t>
        </is>
      </c>
      <c r="G2" s="13" t="inlineStr">
        <is>
          <t>MES_OPER_AQUIS</t>
        </is>
      </c>
      <c r="H2" s="13" t="inlineStr">
        <is>
          <t>VL_OPER_AQUIS</t>
        </is>
      </c>
      <c r="I2" s="13" t="inlineStr">
        <is>
          <t>PARC_NAO_BC</t>
        </is>
      </c>
      <c r="J2" s="13" t="inlineStr">
        <is>
          <t>VL_BC_CRED</t>
        </is>
      </c>
      <c r="K2" s="13" t="inlineStr">
        <is>
          <t>IND_NR_PARC</t>
        </is>
      </c>
      <c r="L2" s="13" t="inlineStr">
        <is>
          <t>CST_PIS</t>
        </is>
      </c>
      <c r="M2" s="13" t="inlineStr">
        <is>
          <t>VL_BC_PIS</t>
        </is>
      </c>
      <c r="N2" s="13" t="inlineStr">
        <is>
          <t>ALIQ_PIS_%</t>
        </is>
      </c>
      <c r="O2" s="13" t="inlineStr">
        <is>
          <t>QUANT_BC_PIS</t>
        </is>
      </c>
      <c r="P2" s="13" t="inlineStr">
        <is>
          <t>ALIQ_PIS_R$</t>
        </is>
      </c>
      <c r="Q2" s="13" t="inlineStr">
        <is>
          <t>VL_PIS</t>
        </is>
      </c>
      <c r="R2" s="13" t="inlineStr">
        <is>
          <t>CST_COFINS</t>
        </is>
      </c>
      <c r="S2" s="13" t="inlineStr">
        <is>
          <t>VL_BC_COFINS</t>
        </is>
      </c>
      <c r="T2" s="13" t="inlineStr">
        <is>
          <t>ALIQ_COFINS_%</t>
        </is>
      </c>
      <c r="U2" s="13" t="inlineStr">
        <is>
          <t>QUANT_BC_COF</t>
        </is>
      </c>
      <c r="V2" s="13" t="inlineStr">
        <is>
          <t>ALIQ_COFINS_R$</t>
        </is>
      </c>
      <c r="W2" s="13" t="inlineStr">
        <is>
          <t>VL_COFINS</t>
        </is>
      </c>
      <c r="X2" s="13" t="inlineStr">
        <is>
          <t>COD_CTA</t>
        </is>
      </c>
      <c r="Y2" s="13" t="inlineStr">
        <is>
          <t>COD_CCUS</t>
        </is>
      </c>
      <c r="Z2" s="13" t="inlineStr">
        <is>
          <t>DES_COMPL</t>
        </is>
      </c>
      <c r="AA2" s="13" t="inlineStr">
        <is>
          <t>COD_MOD</t>
        </is>
      </c>
    </row>
    <row r="3">
      <c r="A3" s="14" t="n"/>
      <c r="B3" s="15" t="n"/>
      <c r="C3" s="16" t="n"/>
      <c r="D3" s="16" t="n"/>
      <c r="E3" s="16" t="n"/>
      <c r="F3" s="16" t="n"/>
      <c r="G3" s="16" t="n"/>
      <c r="H3" s="16" t="n"/>
      <c r="I3" s="17" t="n"/>
      <c r="J3" s="17" t="n"/>
      <c r="K3" s="16" t="n"/>
      <c r="L3" s="16" t="n"/>
      <c r="M3" s="17" t="n"/>
      <c r="N3" s="17" t="n"/>
      <c r="O3" s="17" t="n"/>
      <c r="P3" s="17" t="n"/>
      <c r="Q3" s="17" t="n"/>
      <c r="R3" s="16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</row>
  </sheetData>
  <mergeCells count="1">
    <mergeCell ref="A1:AA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" customWidth="1" style="43" min="1" max="1"/>
    <col width="36" customWidth="1" style="43" min="2" max="2"/>
    <col width="8" customWidth="1" style="43" min="4" max="4"/>
    <col width="36" customWidth="1" style="43" min="5" max="5"/>
    <col width="8" customWidth="1" style="43" min="7" max="7"/>
    <col width="36" customWidth="1" style="43" min="8" max="8"/>
    <col width="8" customWidth="1" style="43" min="10" max="10"/>
    <col width="36" customWidth="1" style="43" min="11" max="11"/>
    <col width="8" customWidth="1" style="43" min="13" max="13"/>
    <col width="36" customWidth="1" style="43" min="14" max="14"/>
    <col width="8" customWidth="1" style="43" min="16" max="16"/>
    <col width="36" customWidth="1" style="43" min="17" max="17"/>
    <col width="8" customWidth="1" style="43" min="19" max="19"/>
    <col width="36" customWidth="1" style="43" min="20" max="20"/>
  </cols>
  <sheetData>
    <row r="1" ht="22.5" customHeight="1" s="43">
      <c r="A1" s="9" t="inlineStr">
        <is>
          <t>CST_PIS_COFINS</t>
        </is>
      </c>
      <c r="B1" s="9" t="inlineStr">
        <is>
          <t>Descrição</t>
        </is>
      </c>
      <c r="D1" s="9" t="inlineStr">
        <is>
          <t>COD_MOD</t>
        </is>
      </c>
      <c r="E1" s="9" t="inlineStr">
        <is>
          <t>Descrição</t>
        </is>
      </c>
      <c r="G1" s="9" t="inlineStr">
        <is>
          <t>IND_OPER</t>
        </is>
      </c>
      <c r="H1" s="9" t="inlineStr">
        <is>
          <t>Descrição</t>
        </is>
      </c>
      <c r="J1" s="9" t="inlineStr">
        <is>
          <t>IND_EMIT</t>
        </is>
      </c>
      <c r="K1" s="9" t="inlineStr">
        <is>
          <t>Descrição</t>
        </is>
      </c>
      <c r="M1" s="9" t="inlineStr">
        <is>
          <t>IND_MOV</t>
        </is>
      </c>
      <c r="N1" s="9" t="inlineStr">
        <is>
          <t>Descrição</t>
        </is>
      </c>
      <c r="P1" s="9" t="inlineStr">
        <is>
          <t>TIPO_ITEM</t>
        </is>
      </c>
      <c r="Q1" s="9" t="inlineStr">
        <is>
          <t>Descrição</t>
        </is>
      </c>
      <c r="S1" s="9" t="inlineStr">
        <is>
          <t>IND_FRT</t>
        </is>
      </c>
      <c r="T1" s="9" t="inlineStr">
        <is>
          <t>Descrição</t>
        </is>
      </c>
    </row>
    <row r="2">
      <c r="A2" s="10" t="inlineStr">
        <is>
          <t>01</t>
        </is>
      </c>
      <c r="B2" s="10" t="inlineStr">
        <is>
          <t>Tributadas – alíq. básica</t>
        </is>
      </c>
      <c r="D2" s="10" t="inlineStr">
        <is>
          <t>01</t>
        </is>
      </c>
      <c r="E2" s="10" t="inlineStr">
        <is>
          <t>NF mod. 1/1A</t>
        </is>
      </c>
      <c r="G2" s="10" t="inlineStr">
        <is>
          <t>0</t>
        </is>
      </c>
      <c r="H2" s="10" t="inlineStr">
        <is>
          <t>Entrada</t>
        </is>
      </c>
      <c r="J2" s="10" t="inlineStr">
        <is>
          <t>0</t>
        </is>
      </c>
      <c r="K2" s="10" t="inlineStr">
        <is>
          <t>Emissão própria</t>
        </is>
      </c>
      <c r="M2" s="10" t="inlineStr">
        <is>
          <t>0</t>
        </is>
      </c>
      <c r="N2" s="10" t="inlineStr">
        <is>
          <t>Houve movimentação</t>
        </is>
      </c>
      <c r="P2" s="10" t="inlineStr">
        <is>
          <t>00</t>
        </is>
      </c>
      <c r="Q2" s="10" t="inlineStr">
        <is>
          <t>Mercadoria p/ revenda</t>
        </is>
      </c>
      <c r="S2" s="10" t="inlineStr">
        <is>
          <t>0</t>
        </is>
      </c>
      <c r="T2" s="10" t="inlineStr">
        <is>
          <t>Por conta do emitente (CIF)</t>
        </is>
      </c>
    </row>
    <row r="3">
      <c r="A3" s="10" t="inlineStr">
        <is>
          <t>02</t>
        </is>
      </c>
      <c r="B3" s="10" t="inlineStr">
        <is>
          <t>Tributadas – alíq. diferenc.</t>
        </is>
      </c>
      <c r="D3" s="10" t="inlineStr">
        <is>
          <t>02</t>
        </is>
      </c>
      <c r="E3" s="10" t="inlineStr">
        <is>
          <t>NF Consumidor</t>
        </is>
      </c>
      <c r="G3" s="10" t="inlineStr">
        <is>
          <t>1</t>
        </is>
      </c>
      <c r="H3" s="10" t="inlineStr">
        <is>
          <t>Saída</t>
        </is>
      </c>
      <c r="J3" s="10" t="inlineStr">
        <is>
          <t>1</t>
        </is>
      </c>
      <c r="K3" s="10" t="inlineStr">
        <is>
          <t>Terceiros</t>
        </is>
      </c>
      <c r="M3" s="10" t="inlineStr">
        <is>
          <t>1</t>
        </is>
      </c>
      <c r="N3" s="10" t="inlineStr">
        <is>
          <t>Sem movimentação física</t>
        </is>
      </c>
      <c r="P3" s="10" t="inlineStr">
        <is>
          <t>01</t>
        </is>
      </c>
      <c r="Q3" s="10" t="inlineStr">
        <is>
          <t>Matéria-prima</t>
        </is>
      </c>
      <c r="S3" s="10" t="inlineStr">
        <is>
          <t>1</t>
        </is>
      </c>
      <c r="T3" s="10" t="inlineStr">
        <is>
          <t>Por conta do destinatário (FOB)</t>
        </is>
      </c>
    </row>
    <row r="4">
      <c r="A4" s="10" t="inlineStr">
        <is>
          <t>03</t>
        </is>
      </c>
      <c r="B4" s="10" t="inlineStr">
        <is>
          <t>Tributadas – quant.</t>
        </is>
      </c>
      <c r="D4" s="10" t="inlineStr">
        <is>
          <t>04</t>
        </is>
      </c>
      <c r="E4" s="10" t="inlineStr">
        <is>
          <t>NF Produtor</t>
        </is>
      </c>
      <c r="P4" s="10" t="inlineStr">
        <is>
          <t>02</t>
        </is>
      </c>
      <c r="Q4" s="10" t="inlineStr">
        <is>
          <t>Embalagem</t>
        </is>
      </c>
      <c r="S4" s="10" t="inlineStr">
        <is>
          <t>2</t>
        </is>
      </c>
      <c r="T4" s="10" t="inlineStr">
        <is>
          <t>Por conta de terceiros</t>
        </is>
      </c>
    </row>
    <row r="5">
      <c r="A5" s="10" t="inlineStr">
        <is>
          <t>04</t>
        </is>
      </c>
      <c r="B5" s="10" t="inlineStr">
        <is>
          <t>Recuperação de crédito</t>
        </is>
      </c>
      <c r="D5" s="10" t="inlineStr">
        <is>
          <t>SE</t>
        </is>
      </c>
      <c r="E5" s="10" t="inlineStr">
        <is>
          <t>NFS-e</t>
        </is>
      </c>
      <c r="P5" s="10" t="inlineStr">
        <is>
          <t>03</t>
        </is>
      </c>
      <c r="Q5" s="10" t="inlineStr">
        <is>
          <t>Produto em processo</t>
        </is>
      </c>
      <c r="S5" s="10" t="inlineStr">
        <is>
          <t>9</t>
        </is>
      </c>
      <c r="T5" s="10" t="inlineStr">
        <is>
          <t>Sem frete</t>
        </is>
      </c>
    </row>
    <row r="6">
      <c r="A6" s="10" t="inlineStr">
        <is>
          <t>05</t>
        </is>
      </c>
      <c r="B6" s="10" t="inlineStr">
        <is>
          <t>Alíquota zero</t>
        </is>
      </c>
      <c r="D6" s="10" t="inlineStr">
        <is>
          <t>55</t>
        </is>
      </c>
      <c r="E6" s="10" t="inlineStr">
        <is>
          <t>NF-e</t>
        </is>
      </c>
      <c r="P6" s="10" t="inlineStr">
        <is>
          <t>04</t>
        </is>
      </c>
      <c r="Q6" s="10" t="inlineStr">
        <is>
          <t>Produto acabado</t>
        </is>
      </c>
    </row>
    <row r="7">
      <c r="A7" s="10" t="inlineStr">
        <is>
          <t>06</t>
        </is>
      </c>
      <c r="B7" s="10" t="inlineStr">
        <is>
          <t>Não incidência</t>
        </is>
      </c>
      <c r="D7" s="10" t="inlineStr">
        <is>
          <t>57</t>
        </is>
      </c>
      <c r="E7" s="10" t="inlineStr">
        <is>
          <t>CT-e</t>
        </is>
      </c>
      <c r="P7" s="10" t="inlineStr">
        <is>
          <t>05</t>
        </is>
      </c>
      <c r="Q7" s="10" t="inlineStr">
        <is>
          <t>Subproduto</t>
        </is>
      </c>
    </row>
    <row r="8">
      <c r="A8" s="10" t="inlineStr">
        <is>
          <t>07</t>
        </is>
      </c>
      <c r="B8" s="10" t="inlineStr">
        <is>
          <t>Isento</t>
        </is>
      </c>
      <c r="D8" s="10" t="inlineStr">
        <is>
          <t>59</t>
        </is>
      </c>
      <c r="E8" s="10" t="inlineStr">
        <is>
          <t>CF-e SAT</t>
        </is>
      </c>
      <c r="P8" s="10" t="inlineStr">
        <is>
          <t>06</t>
        </is>
      </c>
      <c r="Q8" s="10" t="inlineStr">
        <is>
          <t>Produto intermediário</t>
        </is>
      </c>
    </row>
    <row r="9">
      <c r="A9" s="10" t="inlineStr">
        <is>
          <t>08</t>
        </is>
      </c>
      <c r="B9" s="10" t="inlineStr">
        <is>
          <t>Sem incidência</t>
        </is>
      </c>
      <c r="D9" s="10" t="inlineStr">
        <is>
          <t>65</t>
        </is>
      </c>
      <c r="E9" s="10" t="inlineStr">
        <is>
          <t>NFC-e</t>
        </is>
      </c>
      <c r="P9" s="10" t="inlineStr">
        <is>
          <t>07</t>
        </is>
      </c>
      <c r="Q9" s="10" t="inlineStr">
        <is>
          <t>Mat. uso/consumo</t>
        </is>
      </c>
    </row>
    <row r="10">
      <c r="A10" s="10" t="inlineStr">
        <is>
          <t>09</t>
        </is>
      </c>
      <c r="B10" s="10" t="inlineStr">
        <is>
          <t>Com suspensão</t>
        </is>
      </c>
      <c r="P10" s="10" t="inlineStr">
        <is>
          <t>08</t>
        </is>
      </c>
      <c r="Q10" s="10" t="inlineStr">
        <is>
          <t>Ativo imobilizado</t>
        </is>
      </c>
    </row>
    <row r="11">
      <c r="A11" s="10" t="inlineStr">
        <is>
          <t>49</t>
        </is>
      </c>
      <c r="B11" s="10" t="inlineStr">
        <is>
          <t>Outras saídas tributadas</t>
        </is>
      </c>
      <c r="P11" s="10" t="inlineStr">
        <is>
          <t>09</t>
        </is>
      </c>
      <c r="Q11" s="10" t="inlineStr">
        <is>
          <t>Serviços</t>
        </is>
      </c>
    </row>
    <row r="12">
      <c r="A12" s="10" t="inlineStr">
        <is>
          <t>50</t>
        </is>
      </c>
      <c r="B12" s="10" t="inlineStr">
        <is>
          <t>Com direito a crédito</t>
        </is>
      </c>
      <c r="P12" s="10" t="inlineStr">
        <is>
          <t>10</t>
        </is>
      </c>
      <c r="Q12" s="10" t="inlineStr">
        <is>
          <t>Outros insumos</t>
        </is>
      </c>
    </row>
    <row r="13">
      <c r="A13" s="10" t="inlineStr">
        <is>
          <t>51</t>
        </is>
      </c>
      <c r="B13" s="10" t="inlineStr">
        <is>
          <t>Crédito presumido</t>
        </is>
      </c>
      <c r="P13" s="10" t="inlineStr">
        <is>
          <t>99</t>
        </is>
      </c>
      <c r="Q13" s="10" t="inlineStr">
        <is>
          <t>Outras</t>
        </is>
      </c>
    </row>
    <row r="14">
      <c r="A14" s="10" t="inlineStr">
        <is>
          <t>52</t>
        </is>
      </c>
      <c r="B14" s="10" t="inlineStr">
        <is>
          <t>Alíq. zero – crédito</t>
        </is>
      </c>
    </row>
    <row r="15">
      <c r="A15" s="10" t="inlineStr">
        <is>
          <t>53</t>
        </is>
      </c>
      <c r="B15" s="10" t="inlineStr">
        <is>
          <t>Isentas – crédito</t>
        </is>
      </c>
    </row>
    <row r="16">
      <c r="A16" s="10" t="inlineStr">
        <is>
          <t>54</t>
        </is>
      </c>
      <c r="B16" s="10" t="inlineStr">
        <is>
          <t>Sem incidência – crédito</t>
        </is>
      </c>
    </row>
    <row r="17">
      <c r="A17" s="10" t="inlineStr">
        <is>
          <t>55</t>
        </is>
      </c>
      <c r="B17" s="10" t="inlineStr">
        <is>
          <t>Suspensão – crédito</t>
        </is>
      </c>
    </row>
    <row r="18">
      <c r="A18" s="10" t="inlineStr">
        <is>
          <t>98</t>
        </is>
      </c>
      <c r="B18" s="10" t="inlineStr">
        <is>
          <t>Outras entradas c/ crédito</t>
        </is>
      </c>
    </row>
    <row r="19">
      <c r="A19" s="10" t="inlineStr">
        <is>
          <t>99</t>
        </is>
      </c>
      <c r="B19" s="10" t="inlineStr">
        <is>
          <t>Outras entradas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2026-04-11T17:40:39Z</dcterms:created>
  <dcterms:modified xmlns:dcterms="http://purl.org/dc/terms/" xmlns:xsi="http://www.w3.org/2001/XMLSchema-instance" xsi:type="dcterms:W3CDTF">2026-05-30T18:26:12Z</dcterms:modified>
  <cp:lastModifiedBy>Júlio Cezar Nelson</cp:lastModifiedBy>
</cp:coreProperties>
</file>
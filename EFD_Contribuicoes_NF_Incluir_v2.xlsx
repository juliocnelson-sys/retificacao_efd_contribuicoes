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a877285964935ee/PROJETO RETIFICACAO EFD/"/>
    </mc:Choice>
  </mc:AlternateContent>
  <xr:revisionPtr revIDLastSave="0" documentId="8_{FEB7F428-7A70-4E7F-A196-4C163480BD5B}" xr6:coauthVersionLast="47" xr6:coauthVersionMax="47" xr10:uidLastSave="{00000000-0000-0000-0000-000000000000}"/>
  <bookViews>
    <workbookView xWindow="-120" yWindow="-120" windowWidth="38640" windowHeight="15720" firstSheet="1" activeTab="6" xr2:uid="{00000000-000D-0000-FFFF-FFFF00000000}"/>
  </bookViews>
  <sheets>
    <sheet name="INSTRUÇÕES" sheetId="1" r:id="rId1"/>
    <sheet name="0_EMPRESA" sheetId="2" r:id="rId2"/>
    <sheet name="0150_PARTICIPANTES" sheetId="3" r:id="rId3"/>
    <sheet name="0190_UNIDADES" sheetId="4" r:id="rId4"/>
    <sheet name="0200_ITENS" sheetId="5" r:id="rId5"/>
    <sheet name="0400_NAT_REC" sheetId="6" r:id="rId6"/>
    <sheet name="0500_PLANO_CONTAS" sheetId="11" r:id="rId7"/>
    <sheet name="A100_A170" sheetId="7" r:id="rId8"/>
    <sheet name="C100_C170" sheetId="8" r:id="rId9"/>
    <sheet name="D100_D101_D105" sheetId="9" r:id="rId10"/>
    <sheet name="C500_C501_C505" sheetId="10" r:id="rId11"/>
    <sheet name="F100" sheetId="12" r:id="rId12"/>
    <sheet name="F120" sheetId="13" r:id="rId13"/>
    <sheet name="F130" sheetId="14" r:id="rId14"/>
    <sheet name="LISTAS" sheetId="15" state="hidden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2" i="7" l="1"/>
  <c r="AI22" i="7"/>
  <c r="AM21" i="7"/>
  <c r="AI21" i="7"/>
  <c r="AM20" i="7"/>
  <c r="AI20" i="7"/>
  <c r="AM19" i="7"/>
  <c r="AI19" i="7"/>
  <c r="AM18" i="7"/>
  <c r="AI18" i="7"/>
  <c r="AM17" i="7"/>
  <c r="AI17" i="7"/>
  <c r="AM16" i="7"/>
  <c r="AI16" i="7"/>
  <c r="AM15" i="7"/>
  <c r="AI15" i="7"/>
  <c r="AM14" i="7"/>
  <c r="AI14" i="7"/>
  <c r="AM13" i="7"/>
  <c r="AI13" i="7"/>
  <c r="AM12" i="7"/>
  <c r="AI12" i="7"/>
  <c r="AM11" i="7"/>
  <c r="AI11" i="7"/>
  <c r="AM10" i="7"/>
  <c r="AI10" i="7"/>
  <c r="AM9" i="7"/>
  <c r="AI9" i="7"/>
  <c r="AM8" i="7"/>
  <c r="AI8" i="7"/>
  <c r="AM7" i="7"/>
  <c r="AI7" i="7"/>
  <c r="AM6" i="7"/>
  <c r="AI6" i="7"/>
  <c r="AM5" i="7"/>
  <c r="AI5" i="7"/>
  <c r="AM4" i="7"/>
  <c r="AI4" i="7"/>
</calcChain>
</file>

<file path=xl/sharedStrings.xml><?xml version="1.0" encoding="utf-8"?>
<sst xmlns="http://schemas.openxmlformats.org/spreadsheetml/2006/main" count="906" uniqueCount="405">
  <si>
    <t>EFD CONTRIBUIÇÕES  |  0000  –  Identificação da Empresa e Período</t>
  </si>
  <si>
    <t>CNPJ_ESTAB</t>
  </si>
  <si>
    <t>PERÍODO
(MMAAAA)</t>
  </si>
  <si>
    <t>CNPJ</t>
  </si>
  <si>
    <t>NOME / RAZÃO SOCIAL</t>
  </si>
  <si>
    <t>UF</t>
  </si>
  <si>
    <t>COD_MUN</t>
  </si>
  <si>
    <t>IND_SIT_ESP</t>
  </si>
  <si>
    <t>IND_NIRE</t>
  </si>
  <si>
    <t>IND_ATIV</t>
  </si>
  <si>
    <t>IND_APUR</t>
  </si>
  <si>
    <t>COD_VER_LEIAUTE</t>
  </si>
  <si>
    <t>IND_RET
(0=Original/1=Retif.)</t>
  </si>
  <si>
    <t>NUM_REC_ANTERIOR</t>
  </si>
  <si>
    <t>NOME_TXT_ORIGINAL</t>
  </si>
  <si>
    <t>03022008001038</t>
  </si>
  <si>
    <t>TROUW NUTRITION BRASIL NUTRICAO LTDA|</t>
  </si>
  <si>
    <t>SP</t>
  </si>
  <si>
    <t>EFD 102021.TXT</t>
  </si>
  <si>
    <t>03022008000147</t>
  </si>
  <si>
    <t>03022008001380</t>
  </si>
  <si>
    <t>📋  PLANILHA MODELO – EFD CONTRIBUIÇÕES  |  RETIFICAÇÃO  |  v3</t>
  </si>
  <si>
    <t>Preencha cada aba conforme o registro. CNPJ_ESTAB (verde) identifica a matriz ou filial. PERÍODO (amarelo) no formato MMAAAA (ex: 012024). Campos LARANJA são obrigatórios. Campos AZUL CLARO são opcionais. Campos CINZA são calculados automaticamente pelo script — não preencher. Nas abas A100_A170 e C100_C170: cada linha representa 1 item da nota fiscal; preencha os dados do cabeçalho (NF, fornecedor, datas) repetidos em cada linha de item. O script agrupa por CNPJ_ESTAB + PERÍODO + NUM_DOC e totaliza VL_DOC, VL_PIS, VL_COFINS etc.</t>
  </si>
  <si>
    <t>ABA</t>
  </si>
  <si>
    <t>REGISTRO(S)</t>
  </si>
  <si>
    <t>DESCRIÇÃO</t>
  </si>
  <si>
    <t>OBSERVAÇÃO</t>
  </si>
  <si>
    <t>0_EMPRESA</t>
  </si>
  <si>
    <t>0000</t>
  </si>
  <si>
    <t>Período, CNPJ, indicadores</t>
  </si>
  <si>
    <t>1 linha por TXT/período</t>
  </si>
  <si>
    <t>0150_PARTICIPANTES</t>
  </si>
  <si>
    <t>0150</t>
  </si>
  <si>
    <t>Fornecedores e clientes</t>
  </si>
  <si>
    <t>1 linha por participante</t>
  </si>
  <si>
    <t>0190_UNIDADES</t>
  </si>
  <si>
    <t>0190</t>
  </si>
  <si>
    <t>Unidades de medida</t>
  </si>
  <si>
    <t>1 linha por unidade</t>
  </si>
  <si>
    <t>0200_ITENS</t>
  </si>
  <si>
    <t>0200</t>
  </si>
  <si>
    <t>Produtos e serviços</t>
  </si>
  <si>
    <t>1 linha por item</t>
  </si>
  <si>
    <t>0400_NAT_REC</t>
  </si>
  <si>
    <t>0400</t>
  </si>
  <si>
    <t>Naturezas de receita</t>
  </si>
  <si>
    <t>Sem CNPJ_ESTAB – base geral</t>
  </si>
  <si>
    <t>0500_PLANO_CONTAS</t>
  </si>
  <si>
    <t>0500</t>
  </si>
  <si>
    <t>Plano de contas analítico</t>
  </si>
  <si>
    <t>A100_A170</t>
  </si>
  <si>
    <t>A100 + A170</t>
  </si>
  <si>
    <t>NFS-e + itens (1 linha = 1 item)</t>
  </si>
  <si>
    <t>Cabeçalho repetido por item; totais pelo script</t>
  </si>
  <si>
    <t>C100_C170</t>
  </si>
  <si>
    <t>C100 + C170</t>
  </si>
  <si>
    <t>NF-e / NF Mod.1 + itens (1 linha = 1 item)</t>
  </si>
  <si>
    <t>D100_D101_D105</t>
  </si>
  <si>
    <t>D100+D101+D105</t>
  </si>
  <si>
    <t>CT-e + PIS + COFINS</t>
  </si>
  <si>
    <t>1 linha = 1 documento</t>
  </si>
  <si>
    <t>F100</t>
  </si>
  <si>
    <t>Demais documentos e operações</t>
  </si>
  <si>
    <t>1 linha por operação</t>
  </si>
  <si>
    <t>F120</t>
  </si>
  <si>
    <t>Ativo imobilizado – depreciação</t>
  </si>
  <si>
    <t>1 linha por bem</t>
  </si>
  <si>
    <t>F130</t>
  </si>
  <si>
    <t>Ativo imobilizado – aquisição</t>
  </si>
  <si>
    <t>LEGENDA DE CORES</t>
  </si>
  <si>
    <t>CNPJ_ESTAB – identifica a matriz ou filial</t>
  </si>
  <si>
    <t>PERÍODO – formato MMAAAA  (ex.: 012024)</t>
  </si>
  <si>
    <t>Campo OBRIGATÓRIO – deve ser preenchido pelo usuário</t>
  </si>
  <si>
    <t>Campo OPCIONAL – preencher quando aplicável</t>
  </si>
  <si>
    <t>Campo CALCULADO PELO SCRIPT – não preencher</t>
  </si>
  <si>
    <t>EFD CONTRIBUIÇÕES  |  0150  –  Cadastro de Participantes</t>
  </si>
  <si>
    <t>COD_PART</t>
  </si>
  <si>
    <t>NOME</t>
  </si>
  <si>
    <t>COD_PAIS</t>
  </si>
  <si>
    <t>CPF</t>
  </si>
  <si>
    <t>IE</t>
  </si>
  <si>
    <t>SUFRAMA</t>
  </si>
  <si>
    <t>END</t>
  </si>
  <si>
    <t>NUM</t>
  </si>
  <si>
    <t>COMPL</t>
  </si>
  <si>
    <t>BAIRRO</t>
  </si>
  <si>
    <t xml:space="preserve">167664    </t>
  </si>
  <si>
    <t>Assoc Matogrossense D T U</t>
  </si>
  <si>
    <t>1058</t>
  </si>
  <si>
    <t>24671422000157</t>
  </si>
  <si>
    <t xml:space="preserve">167806    </t>
  </si>
  <si>
    <t>Interior Recursos Humanos Ltda - Me</t>
  </si>
  <si>
    <t>02845779000171</t>
  </si>
  <si>
    <t xml:space="preserve">169361    </t>
  </si>
  <si>
    <t>Protecta Tecnologia E C D P Ltda Me</t>
  </si>
  <si>
    <t>09539399000158</t>
  </si>
  <si>
    <t xml:space="preserve">212860    </t>
  </si>
  <si>
    <t>Safe Water Brasil Ltda Epp</t>
  </si>
  <si>
    <t>15766003000108</t>
  </si>
  <si>
    <t xml:space="preserve">170741    </t>
  </si>
  <si>
    <t>Anderson Amorim Da Silva 01328873129</t>
  </si>
  <si>
    <t>17399458000168</t>
  </si>
  <si>
    <t xml:space="preserve">167821    </t>
  </si>
  <si>
    <t>Videojet Do B C E P Codif Ind 000146</t>
  </si>
  <si>
    <t>00028876000146</t>
  </si>
  <si>
    <t xml:space="preserve">228875    </t>
  </si>
  <si>
    <t>Transcacula Col de Residuos Eireli</t>
  </si>
  <si>
    <t>40601937000137</t>
  </si>
  <si>
    <t xml:space="preserve">166643    </t>
  </si>
  <si>
    <t>Centro De Int E Escola Ciee 000155</t>
  </si>
  <si>
    <t>61600839000155</t>
  </si>
  <si>
    <t>EFD CONTRIBUIÇÕES  |  0190  –  Unidades de Medida</t>
  </si>
  <si>
    <t>UNID</t>
  </si>
  <si>
    <t>DESCR</t>
  </si>
  <si>
    <t>00000000000000</t>
  </si>
  <si>
    <t>012024</t>
  </si>
  <si>
    <t>UN</t>
  </si>
  <si>
    <t>Unidade</t>
  </si>
  <si>
    <t>EFD CONTRIBUIÇÕES  |  0200  –  Tabela de Itens (Produtos e Serviços)</t>
  </si>
  <si>
    <t>COD_ITEM</t>
  </si>
  <si>
    <t>DESCR_ITEM</t>
  </si>
  <si>
    <t>COD_BARRA</t>
  </si>
  <si>
    <t>UNID_INV</t>
  </si>
  <si>
    <t>TIPO_ITEM</t>
  </si>
  <si>
    <t>COD_NCM</t>
  </si>
  <si>
    <t>EX_IPI</t>
  </si>
  <si>
    <t>COD_GEN</t>
  </si>
  <si>
    <t>COD_LST</t>
  </si>
  <si>
    <t>ALIQ_ICMS</t>
  </si>
  <si>
    <t>SERV001</t>
  </si>
  <si>
    <t>Benefícios da folha de pagamento</t>
  </si>
  <si>
    <t>09</t>
  </si>
  <si>
    <t>SERV002</t>
  </si>
  <si>
    <t>Pessoal temporário - agências</t>
  </si>
  <si>
    <t>SERV003</t>
  </si>
  <si>
    <t>TFM - Outros</t>
  </si>
  <si>
    <t>SERV004</t>
  </si>
  <si>
    <t>Serviços de Tecnologia - Controle de Processos</t>
  </si>
  <si>
    <t>SERV005</t>
  </si>
  <si>
    <t>SERV006</t>
  </si>
  <si>
    <t>TFM - Serviços de instalações</t>
  </si>
  <si>
    <t>SERV007</t>
  </si>
  <si>
    <t>Aluguel e Leasing - Equipamentos</t>
  </si>
  <si>
    <t>SERV008</t>
  </si>
  <si>
    <t>Gestão de resíduos</t>
  </si>
  <si>
    <t>SERV009</t>
  </si>
  <si>
    <t>SERV010</t>
  </si>
  <si>
    <t>SERV011</t>
  </si>
  <si>
    <t>SERV012</t>
  </si>
  <si>
    <t>SERV013</t>
  </si>
  <si>
    <t>SERV014</t>
  </si>
  <si>
    <t>SERV015</t>
  </si>
  <si>
    <t>SERV016</t>
  </si>
  <si>
    <t>SERV017</t>
  </si>
  <si>
    <t>SERV018</t>
  </si>
  <si>
    <t>SERV019</t>
  </si>
  <si>
    <t>EFD CONTRIBUIÇÕES  |  0400  –  Naturezas de Receita  ★ base cadastral geral</t>
  </si>
  <si>
    <t>COD_NAT_REC</t>
  </si>
  <si>
    <t>DESCR_NAT_REC</t>
  </si>
  <si>
    <t>101</t>
  </si>
  <si>
    <t>Receita de venda de bens e/ou serviços</t>
  </si>
  <si>
    <t>EFD CONTRIBUIÇÕES  |  A100 + A170  –  NFS-e + Itens  |  1 linha = 1 item  |  Campos CINZA calculados pelo script</t>
  </si>
  <si>
    <t>IDENTIFICAÇÃO</t>
  </si>
  <si>
    <t>◆ A100 – CABEÇALHO (preencher)</t>
  </si>
  <si>
    <t>◆ A100 – TOTAIS (script)</t>
  </si>
  <si>
    <t>◆ A170 – ITEM (preencher)</t>
  </si>
  <si>
    <t>IND_OPER</t>
  </si>
  <si>
    <t>IND_EMIT</t>
  </si>
  <si>
    <t>COD_PART
(Fornecedor/Cliente)</t>
  </si>
  <si>
    <t>COD_MOD</t>
  </si>
  <si>
    <t>COD_SIT</t>
  </si>
  <si>
    <t>SER</t>
  </si>
  <si>
    <t>SUB</t>
  </si>
  <si>
    <t>NUM_DOC</t>
  </si>
  <si>
    <t>CHV_DOC</t>
  </si>
  <si>
    <t>DT_DOC</t>
  </si>
  <si>
    <t>DT_EXE_SERV</t>
  </si>
  <si>
    <t>IND_PGTO</t>
  </si>
  <si>
    <t>COD_CTA</t>
  </si>
  <si>
    <t>VL_DOC</t>
  </si>
  <si>
    <t>VL_DESC</t>
  </si>
  <si>
    <t>VL_BC_PIS</t>
  </si>
  <si>
    <t>ALIQ_PIS</t>
  </si>
  <si>
    <t>VL_PIS</t>
  </si>
  <si>
    <t>VL_BC_COFINS</t>
  </si>
  <si>
    <t>ALIQ_COFINS</t>
  </si>
  <si>
    <t>VL_COFINS</t>
  </si>
  <si>
    <t>NUM_ITEM</t>
  </si>
  <si>
    <t>DESCR_COMPL</t>
  </si>
  <si>
    <t>VL_ITEM</t>
  </si>
  <si>
    <t>VL_DESC_ITEM</t>
  </si>
  <si>
    <t>NAT_BC_CRED</t>
  </si>
  <si>
    <t>IND_ORIG_CRED</t>
  </si>
  <si>
    <t>CST_PIS</t>
  </si>
  <si>
    <t>VL_BC_PIS_ITEM</t>
  </si>
  <si>
    <t>ALIQ_PIS_ITEM</t>
  </si>
  <si>
    <t>VL_PIS_ITEM</t>
  </si>
  <si>
    <t>CST_COFINS</t>
  </si>
  <si>
    <t>VL_BC_COFINS_ITEM</t>
  </si>
  <si>
    <t>ALIQ_COFINS_ITEM</t>
  </si>
  <si>
    <t>VL_COFINS_ITEM</t>
  </si>
  <si>
    <t>COD_CTA_ITEM</t>
  </si>
  <si>
    <t>COD_CCUS</t>
  </si>
  <si>
    <t>SE</t>
  </si>
  <si>
    <t>00</t>
  </si>
  <si>
    <t>← script</t>
  </si>
  <si>
    <t>0,00</t>
  </si>
  <si>
    <t>50</t>
  </si>
  <si>
    <t>22214101</t>
  </si>
  <si>
    <t>serv002</t>
  </si>
  <si>
    <t>52611101</t>
  </si>
  <si>
    <t>55191105</t>
  </si>
  <si>
    <t>55131109</t>
  </si>
  <si>
    <t>55191101</t>
  </si>
  <si>
    <t>55141103</t>
  </si>
  <si>
    <t>55111108</t>
  </si>
  <si>
    <t>EFD CONTRIBUIÇÕES  |  C100 + C170  –  NF-e / NF Mod.1 + Itens  |  1 linha = 1 item  |  Campos CINZA calculados pelo script</t>
  </si>
  <si>
    <t>◆ C100 – CABEÇALHO (preencher)</t>
  </si>
  <si>
    <t>◆ C100 – TOTAIS (script)</t>
  </si>
  <si>
    <t>◆ C170 – ITEM (preencher)</t>
  </si>
  <si>
    <t>CHV_NFE</t>
  </si>
  <si>
    <t>DT_E_S</t>
  </si>
  <si>
    <t>IND_FRT</t>
  </si>
  <si>
    <t>VL_FRT</t>
  </si>
  <si>
    <t>VL_SEG</t>
  </si>
  <si>
    <t>VL_OUT_DA</t>
  </si>
  <si>
    <t>VL_ABAT_NT</t>
  </si>
  <si>
    <t>VL_MERC</t>
  </si>
  <si>
    <t>VL_BC_ICMS</t>
  </si>
  <si>
    <t>VL_ICMS</t>
  </si>
  <si>
    <t>VL_BC_ICMS_ST</t>
  </si>
  <si>
    <t>VL_ICMS_ST</t>
  </si>
  <si>
    <t>VL_IPI</t>
  </si>
  <si>
    <t>VL_PIS_ST</t>
  </si>
  <si>
    <t>VL_COFINS_ST</t>
  </si>
  <si>
    <t>QTD</t>
  </si>
  <si>
    <t>IND_MOV</t>
  </si>
  <si>
    <t>CST_ICMS</t>
  </si>
  <si>
    <t>CFOP</t>
  </si>
  <si>
    <t>COD_NAT</t>
  </si>
  <si>
    <t>VL_BC_ICMS_ITEM</t>
  </si>
  <si>
    <t>VL_ICMS_ITEM</t>
  </si>
  <si>
    <t>VL_BC_ICMS_ST_ITEM</t>
  </si>
  <si>
    <t>ALIQ_ST</t>
  </si>
  <si>
    <t>VL_ICMS_ST_ITEM</t>
  </si>
  <si>
    <t>CST_IPI</t>
  </si>
  <si>
    <t>VL_BC_IPI</t>
  </si>
  <si>
    <t>ALIQ_IPI</t>
  </si>
  <si>
    <t>VL_IPI_ITEM</t>
  </si>
  <si>
    <t>ALIQ_PIS_%</t>
  </si>
  <si>
    <t>QUANT_BC_PIS</t>
  </si>
  <si>
    <t>ALIQ_PIS_R$</t>
  </si>
  <si>
    <t>ALIQ_COFINS_%</t>
  </si>
  <si>
    <t>QUANT_BC_COFINS</t>
  </si>
  <si>
    <t>ALIQ_COFINS_R$</t>
  </si>
  <si>
    <t>EFD CONTRIBUIÇÕES  |  D100 + D101 + D105  –  CT-e  |  1 linha = 1 documento</t>
  </si>
  <si>
    <t>◆ D100 – CONHECIMENTO</t>
  </si>
  <si>
    <t>◆ D101 – PIS</t>
  </si>
  <si>
    <t>◆ D105 – COFINS</t>
  </si>
  <si>
    <t>COD_PART
(Transportadora)</t>
  </si>
  <si>
    <t>CHV_CTE</t>
  </si>
  <si>
    <t>DT_A_P</t>
  </si>
  <si>
    <t>TP_CT_e</t>
  </si>
  <si>
    <t>CHV_CTE_REF</t>
  </si>
  <si>
    <t>VL_SERV</t>
  </si>
  <si>
    <t>VL_NT</t>
  </si>
  <si>
    <t>COD_INF</t>
  </si>
  <si>
    <t>IND_NAT_FRT</t>
  </si>
  <si>
    <t>VL_ITEM_PIS</t>
  </si>
  <si>
    <t>COD_CTA_PIS</t>
  </si>
  <si>
    <t>COD_CCUS_PIS</t>
  </si>
  <si>
    <t>VL_ITEM_COF</t>
  </si>
  <si>
    <t>QUANT_BC_COF</t>
  </si>
  <si>
    <t>COD_CTA_COF</t>
  </si>
  <si>
    <t>COD_CCUS_COF</t>
  </si>
  <si>
    <t>EFD CONTRIBUIÇÕES  |  C500 + C501 + C505  –  NF Energia/Comunicação/Gás/Água  |  1 linha = 1 documento  |  Campos CINZA calculados pelo script</t>
  </si>
  <si>
    <t>◆ C500 – CABEÇALHO (preencher)</t>
  </si>
  <si>
    <t>◆ C500 – TOTAIS (script)</t>
  </si>
  <si>
    <t>◆ C501 – PIS (preencher)</t>
  </si>
  <si>
    <t>◆ C505 – COFINS (preencher)</t>
  </si>
  <si>
    <t>COD_SIT_ESP</t>
  </si>
  <si>
    <t>DT_ENT</t>
  </si>
  <si>
    <t>CHV_DOCe</t>
  </si>
  <si>
    <t>VL_BC_PIS_2</t>
  </si>
  <si>
    <t>VL_PIS_501</t>
  </si>
  <si>
    <t>COD_CTA_501</t>
  </si>
  <si>
    <t>VL_BC_COFINS_2</t>
  </si>
  <si>
    <t>VL_COFINS_505</t>
  </si>
  <si>
    <t>COD_CTA_505</t>
  </si>
  <si>
    <t>102022</t>
  </si>
  <si>
    <t>450470</t>
  </si>
  <si>
    <t>01</t>
  </si>
  <si>
    <t>0</t>
  </si>
  <si>
    <t>112468</t>
  </si>
  <si>
    <t>17/10/2022</t>
  </si>
  <si>
    <t>27/10/2022</t>
  </si>
  <si>
    <t>25469,21</t>
  </si>
  <si>
    <t>04</t>
  </si>
  <si>
    <t>1,65</t>
  </si>
  <si>
    <t>420,24</t>
  </si>
  <si>
    <t>55111101</t>
  </si>
  <si>
    <t>7,60</t>
  </si>
  <si>
    <t>1935,66</t>
  </si>
  <si>
    <t>EFD CONTRIBUIÇÕES  |  0500 – Plano de Contas Contábeis  ★ base cadastral geral</t>
  </si>
  <si>
    <t>DT_ALT
(DDMMAAAA)</t>
  </si>
  <si>
    <t>COD_NAT_CC
(01-05/09)</t>
  </si>
  <si>
    <t>IND_CTA
(S=Sint./A=Anal.)</t>
  </si>
  <si>
    <t>NÍVEL</t>
  </si>
  <si>
    <t>NOME_CTA</t>
  </si>
  <si>
    <t>COD_CTA_SUP</t>
  </si>
  <si>
    <t>COD_CTA_REF</t>
  </si>
  <si>
    <t>A</t>
  </si>
  <si>
    <t>5</t>
  </si>
  <si>
    <t>Funcionarios temporarios - agencias</t>
  </si>
  <si>
    <t>EFD CONTRIBUIÇÕES  |  F100  –  Demais Documentos e Operações</t>
  </si>
  <si>
    <t>DT_OPER</t>
  </si>
  <si>
    <t>VL_OPER</t>
  </si>
  <si>
    <t>DES_COMPL</t>
  </si>
  <si>
    <t>GRUPO_TENSAO</t>
  </si>
  <si>
    <t>EFD CONTRIBUIÇÕES  |  F120  –  Ativo Imobilizado – Crédito por Depreciação</t>
  </si>
  <si>
    <t>IDENT_BEM_IMOB</t>
  </si>
  <si>
    <t>IND_UTIL_BEM_IMOB</t>
  </si>
  <si>
    <t>VL_OPER_DEP</t>
  </si>
  <si>
    <t>PARC_NAO_BC</t>
  </si>
  <si>
    <t>EFD CONTRIBUIÇÕES  |  F130  –  Ativo Imobilizado – Crédito por Valor de Aquisição</t>
  </si>
  <si>
    <t>MES_OPER_AQUIS</t>
  </si>
  <si>
    <t>VL_OPER_AQUIS</t>
  </si>
  <si>
    <t>VL_BC_CRED</t>
  </si>
  <si>
    <t>IND_NR_PARC</t>
  </si>
  <si>
    <t>CST_PIS_COFINS</t>
  </si>
  <si>
    <t>Descrição</t>
  </si>
  <si>
    <t>Tributadas – alíq. básica</t>
  </si>
  <si>
    <t>NF mod. 1/1A</t>
  </si>
  <si>
    <t>Entrada</t>
  </si>
  <si>
    <t>Emissão própria</t>
  </si>
  <si>
    <t>Houve movimentação</t>
  </si>
  <si>
    <t>Mercadoria p/ revenda</t>
  </si>
  <si>
    <t>Por conta do emitente (CIF)</t>
  </si>
  <si>
    <t>02</t>
  </si>
  <si>
    <t>Tributadas – alíq. diferenc.</t>
  </si>
  <si>
    <t>NF Consumidor</t>
  </si>
  <si>
    <t>1</t>
  </si>
  <si>
    <t>Saída</t>
  </si>
  <si>
    <t>Terceiros</t>
  </si>
  <si>
    <t>Sem movimentação física</t>
  </si>
  <si>
    <t>Matéria-prima</t>
  </si>
  <si>
    <t>Por conta do destinatário (FOB)</t>
  </si>
  <si>
    <t>03</t>
  </si>
  <si>
    <t>Tributadas – quant.</t>
  </si>
  <si>
    <t>NF Produtor</t>
  </si>
  <si>
    <t>Embalagem</t>
  </si>
  <si>
    <t>2</t>
  </si>
  <si>
    <t>Por conta de terceiros</t>
  </si>
  <si>
    <t>Recuperação de crédito</t>
  </si>
  <si>
    <t>NFS-e</t>
  </si>
  <si>
    <t>Produto em processo</t>
  </si>
  <si>
    <t>9</t>
  </si>
  <si>
    <t>Sem frete</t>
  </si>
  <si>
    <t>05</t>
  </si>
  <si>
    <t>Alíquota zero</t>
  </si>
  <si>
    <t>55</t>
  </si>
  <si>
    <t>NF-e</t>
  </si>
  <si>
    <t>Produto acabado</t>
  </si>
  <si>
    <t>06</t>
  </si>
  <si>
    <t>Não incidência</t>
  </si>
  <si>
    <t>57</t>
  </si>
  <si>
    <t>CT-e</t>
  </si>
  <si>
    <t>Subproduto</t>
  </si>
  <si>
    <t>07</t>
  </si>
  <si>
    <t>Isento</t>
  </si>
  <si>
    <t>59</t>
  </si>
  <si>
    <t>CF-e SAT</t>
  </si>
  <si>
    <t>Produto intermediário</t>
  </si>
  <si>
    <t>08</t>
  </si>
  <si>
    <t>Sem incidência</t>
  </si>
  <si>
    <t>65</t>
  </si>
  <si>
    <t>NFC-e</t>
  </si>
  <si>
    <t>Mat. uso/consumo</t>
  </si>
  <si>
    <t>Com suspensão</t>
  </si>
  <si>
    <t>Ativo imobilizado</t>
  </si>
  <si>
    <t>49</t>
  </si>
  <si>
    <t>Outras saídas tributadas</t>
  </si>
  <si>
    <t>Serviços</t>
  </si>
  <si>
    <t>Com direito a crédito</t>
  </si>
  <si>
    <t>10</t>
  </si>
  <si>
    <t>Outros insumos</t>
  </si>
  <si>
    <t>51</t>
  </si>
  <si>
    <t>Crédito presumido</t>
  </si>
  <si>
    <t>99</t>
  </si>
  <si>
    <t>Outras</t>
  </si>
  <si>
    <t>52</t>
  </si>
  <si>
    <t>Alíq. zero – crédito</t>
  </si>
  <si>
    <t>53</t>
  </si>
  <si>
    <t>Isentas – crédito</t>
  </si>
  <si>
    <t>54</t>
  </si>
  <si>
    <t>Sem incidência – crédito</t>
  </si>
  <si>
    <t>Suspensão – crédito</t>
  </si>
  <si>
    <t>98</t>
  </si>
  <si>
    <t>Outras entradas c/ crédito</t>
  </si>
  <si>
    <t>Outras entradas</t>
  </si>
  <si>
    <t>Salarios e bonus a serem pagos - Pagar salarios</t>
  </si>
  <si>
    <t>Serviços Techn - Serviços cntrl de processos</t>
  </si>
  <si>
    <t>TFM - Serviços de instalacoes</t>
  </si>
  <si>
    <t>Aluguel e Contrato - Equipamentos</t>
  </si>
  <si>
    <t>Gestao de Residuos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</si>
</sst>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yyyy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Aptos Narrow"/>
      <family val="2"/>
    </font>
    <font>
      <sz val="12"/>
      <color theme="1"/>
      <name val="Aptos Narrow"/>
      <family val="2"/>
    </font>
    <font>
      <sz val="12"/>
      <color theme="1"/>
      <name val="Aptos Narrow"/>
      <family val="2"/>
    </font>
    <font>
      <b/>
      <sz val="11"/>
      <color rgb="FFFFFFFF"/>
      <name val="Arial"/>
      <family val="2"/>
    </font>
    <font>
      <i/>
      <sz val="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9"/>
      <name val="Arial"/>
      <family val="2"/>
    </font>
    <font>
      <b/>
      <sz val="8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color rgb="FF333333"/>
      <name val="Aptos Narrow"/>
      <family val="2"/>
    </font>
    <font>
      <i/>
      <sz val="12"/>
      <color rgb="FF666666"/>
      <name val="Aptos Narrow"/>
      <family val="2"/>
    </font>
    <font>
      <sz val="12"/>
      <color rgb="FF333333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8"/>
      <color rgb="FFFFFFFF"/>
      <name val="Arial"/>
      <family val="2"/>
    </font>
    <font>
      <sz val="9"/>
      <color rgb="FF000000"/>
      <name val="Arial"/>
      <family val="2"/>
    </font>
    <font>
      <i/>
      <sz val="9"/>
      <color rgb="FF666666"/>
      <name val="Arial"/>
      <family val="2"/>
    </font>
    <font>
      <sz val="12"/>
      <name val="Aptos Narrow"/>
      <family val="2"/>
    </font>
  </fonts>
  <fills count="2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D9D9D9"/>
      </patternFill>
    </fill>
    <fill>
      <patternFill patternType="solid">
        <fgColor rgb="FF7F7F7F"/>
      </patternFill>
    </fill>
    <fill>
      <patternFill patternType="solid">
        <fgColor rgb="FF1A6B3C"/>
      </patternFill>
    </fill>
    <fill>
      <patternFill patternType="solid">
        <fgColor rgb="FF7B3F00"/>
      </patternFill>
    </fill>
    <fill>
      <patternFill patternType="solid">
        <fgColor rgb="FFFFFF00"/>
        <bgColor indexed="64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7F7F7F"/>
      </patternFill>
    </fill>
    <fill>
      <patternFill patternType="solid">
        <fgColor rgb="FF1A6B3C"/>
      </patternFill>
    </fill>
    <fill>
      <patternFill patternType="solid">
        <fgColor rgb="FF7B3F0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BF3FB"/>
      </patternFill>
    </fill>
    <fill>
      <patternFill patternType="solid">
        <fgColor rgb="FFD9D9D9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</borders>
  <cellStyleXfs count="2">
    <xf numFmtId="0" fontId="0" fillId="0" borderId="0"/>
    <xf numFmtId="43" fontId="10" fillId="0" borderId="0"/>
  </cellStyleXfs>
  <cellXfs count="67">
    <xf numFmtId="0" fontId="0" fillId="0" borderId="0" xfId="0"/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vertical="center" wrapText="1"/>
    </xf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9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 vertical="center"/>
    </xf>
    <xf numFmtId="0" fontId="12" fillId="10" borderId="1" xfId="0" applyFont="1" applyFill="1" applyBorder="1" applyAlignment="1">
      <alignment horizontal="left" vertical="center"/>
    </xf>
    <xf numFmtId="49" fontId="13" fillId="15" borderId="2" xfId="0" applyNumberFormat="1" applyFont="1" applyFill="1" applyBorder="1" applyAlignment="1">
      <alignment horizontal="center" vertical="center"/>
    </xf>
    <xf numFmtId="0" fontId="13" fillId="15" borderId="2" xfId="0" applyFont="1" applyFill="1" applyBorder="1" applyAlignment="1">
      <alignment horizontal="center" vertical="center"/>
    </xf>
    <xf numFmtId="49" fontId="12" fillId="9" borderId="1" xfId="0" applyNumberFormat="1" applyFont="1" applyFill="1" applyBorder="1" applyAlignment="1">
      <alignment horizontal="left" vertical="center"/>
    </xf>
    <xf numFmtId="0" fontId="3" fillId="15" borderId="2" xfId="0" applyFont="1" applyFill="1" applyBorder="1" applyAlignment="1">
      <alignment horizontal="center"/>
    </xf>
    <xf numFmtId="14" fontId="13" fillId="15" borderId="2" xfId="0" applyNumberFormat="1" applyFont="1" applyFill="1" applyBorder="1" applyAlignment="1">
      <alignment horizontal="center" vertical="center"/>
    </xf>
    <xf numFmtId="1" fontId="13" fillId="15" borderId="2" xfId="0" applyNumberFormat="1" applyFont="1" applyFill="1" applyBorder="1" applyAlignment="1">
      <alignment horizontal="center" vertical="center"/>
    </xf>
    <xf numFmtId="43" fontId="13" fillId="15" borderId="2" xfId="1" applyFont="1" applyFill="1" applyBorder="1" applyAlignment="1">
      <alignment horizontal="center" vertical="center"/>
    </xf>
    <xf numFmtId="0" fontId="11" fillId="12" borderId="1" xfId="0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4" fillId="11" borderId="1" xfId="0" applyFont="1" applyFill="1" applyBorder="1" applyAlignment="1">
      <alignment horizontal="left" vertical="center"/>
    </xf>
    <xf numFmtId="43" fontId="12" fillId="10" borderId="1" xfId="1" applyFont="1" applyFill="1" applyBorder="1" applyAlignment="1">
      <alignment horizontal="left" vertical="center"/>
    </xf>
    <xf numFmtId="0" fontId="11" fillId="14" borderId="1" xfId="0" applyFont="1" applyFill="1" applyBorder="1" applyAlignment="1">
      <alignment horizontal="center" vertical="center" wrapText="1"/>
    </xf>
    <xf numFmtId="49" fontId="15" fillId="15" borderId="2" xfId="0" applyNumberFormat="1" applyFont="1" applyFill="1" applyBorder="1" applyAlignment="1">
      <alignment horizontal="center" vertical="center"/>
    </xf>
    <xf numFmtId="0" fontId="2" fillId="0" borderId="0" xfId="0" applyFont="1"/>
    <xf numFmtId="0" fontId="18" fillId="16" borderId="5" xfId="0" applyFont="1" applyFill="1" applyBorder="1" applyAlignment="1">
      <alignment horizontal="center" vertical="center" wrapText="1"/>
    </xf>
    <xf numFmtId="0" fontId="18" fillId="17" borderId="5" xfId="0" applyFont="1" applyFill="1" applyBorder="1" applyAlignment="1">
      <alignment horizontal="center" vertical="center" wrapText="1"/>
    </xf>
    <xf numFmtId="0" fontId="18" fillId="18" borderId="5" xfId="0" applyFont="1" applyFill="1" applyBorder="1" applyAlignment="1">
      <alignment horizontal="center" vertical="center" wrapText="1"/>
    </xf>
    <xf numFmtId="0" fontId="18" fillId="19" borderId="5" xfId="0" applyFont="1" applyFill="1" applyBorder="1" applyAlignment="1">
      <alignment horizontal="center" vertical="center" wrapText="1"/>
    </xf>
    <xf numFmtId="0" fontId="18" fillId="20" borderId="5" xfId="0" applyFont="1" applyFill="1" applyBorder="1" applyAlignment="1">
      <alignment horizontal="center" vertical="center" wrapText="1"/>
    </xf>
    <xf numFmtId="0" fontId="19" fillId="21" borderId="5" xfId="0" applyFont="1" applyFill="1" applyBorder="1" applyAlignment="1">
      <alignment horizontal="left" vertical="center"/>
    </xf>
    <xf numFmtId="0" fontId="19" fillId="22" borderId="5" xfId="0" applyFont="1" applyFill="1" applyBorder="1" applyAlignment="1">
      <alignment horizontal="left" vertical="center"/>
    </xf>
    <xf numFmtId="0" fontId="19" fillId="23" borderId="5" xfId="0" applyFont="1" applyFill="1" applyBorder="1" applyAlignment="1">
      <alignment horizontal="left" vertical="center"/>
    </xf>
    <xf numFmtId="0" fontId="19" fillId="24" borderId="5" xfId="0" applyFont="1" applyFill="1" applyBorder="1" applyAlignment="1">
      <alignment horizontal="left" vertical="center"/>
    </xf>
    <xf numFmtId="0" fontId="20" fillId="25" borderId="5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center" vertical="center"/>
    </xf>
    <xf numFmtId="0" fontId="3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8" fillId="0" borderId="1" xfId="0" applyFont="1" applyBorder="1"/>
    <xf numFmtId="0" fontId="5" fillId="3" borderId="0" xfId="0" applyFont="1" applyFill="1" applyAlignment="1">
      <alignment vertical="center" wrapText="1"/>
    </xf>
    <xf numFmtId="0" fontId="0" fillId="0" borderId="0" xfId="0"/>
    <xf numFmtId="0" fontId="4" fillId="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17" fillId="18" borderId="0" xfId="0" applyFont="1" applyFill="1" applyAlignment="1">
      <alignment horizontal="center" vertical="center"/>
    </xf>
    <xf numFmtId="0" fontId="17" fillId="16" borderId="0" xfId="0" applyFont="1" applyFill="1" applyAlignment="1">
      <alignment horizontal="center" vertical="center"/>
    </xf>
    <xf numFmtId="0" fontId="17" fillId="17" borderId="0" xfId="0" applyFont="1" applyFill="1" applyAlignment="1">
      <alignment horizontal="center" vertical="center"/>
    </xf>
    <xf numFmtId="0" fontId="17" fillId="19" borderId="0" xfId="0" applyFont="1" applyFill="1" applyAlignment="1">
      <alignment horizontal="center" vertical="center"/>
    </xf>
    <xf numFmtId="0" fontId="17" fillId="20" borderId="0" xfId="0" applyFont="1" applyFill="1" applyAlignment="1">
      <alignment horizontal="center" vertical="center"/>
    </xf>
    <xf numFmtId="0" fontId="16" fillId="16" borderId="0" xfId="0" applyFont="1" applyFill="1" applyAlignment="1">
      <alignment horizontal="center" vertical="center"/>
    </xf>
    <xf numFmtId="164" fontId="12" fillId="0" borderId="2" xfId="0" applyNumberFormat="1" applyFont="1" applyFill="1" applyBorder="1" applyAlignment="1">
      <alignment horizontal="left" vertical="center"/>
    </xf>
    <xf numFmtId="14" fontId="12" fillId="0" borderId="2" xfId="0" applyNumberFormat="1" applyFont="1" applyFill="1" applyBorder="1" applyAlignment="1">
      <alignment horizontal="left" vertical="center"/>
    </xf>
    <xf numFmtId="0" fontId="18" fillId="17" borderId="6" xfId="0" applyFont="1" applyFill="1" applyBorder="1" applyAlignment="1">
      <alignment horizontal="center" vertical="center" wrapText="1"/>
    </xf>
    <xf numFmtId="49" fontId="21" fillId="0" borderId="2" xfId="0" applyNumberFormat="1" applyFont="1" applyFill="1" applyBorder="1" applyAlignment="1">
      <alignment horizontal="left" vertical="center"/>
    </xf>
    <xf numFmtId="0" fontId="21" fillId="0" borderId="2" xfId="0" applyFont="1" applyFill="1" applyBorder="1" applyAlignment="1">
      <alignment horizontal="left" vertical="center"/>
    </xf>
    <xf numFmtId="0" fontId="1" fillId="0" borderId="2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showGridLines="0" workbookViewId="0">
      <selection sqref="A1:H1"/>
    </sheetView>
  </sheetViews>
  <sheetFormatPr defaultRowHeight="15" x14ac:dyDescent="0.25"/>
  <cols>
    <col min="1" max="1" width="22" customWidth="1"/>
    <col min="2" max="2" width="18" customWidth="1"/>
    <col min="3" max="3" width="50" customWidth="1"/>
    <col min="4" max="4" width="45" customWidth="1"/>
  </cols>
  <sheetData>
    <row r="1" spans="1:8" ht="36" customHeight="1" x14ac:dyDescent="0.25">
      <c r="A1" s="50" t="s">
        <v>21</v>
      </c>
      <c r="B1" s="49"/>
      <c r="C1" s="49"/>
      <c r="D1" s="49"/>
      <c r="E1" s="49"/>
      <c r="F1" s="49"/>
      <c r="G1" s="49"/>
      <c r="H1" s="49"/>
    </row>
    <row r="2" spans="1:8" ht="50.1" customHeight="1" x14ac:dyDescent="0.25">
      <c r="A2" s="48" t="s">
        <v>22</v>
      </c>
      <c r="B2" s="49"/>
      <c r="C2" s="49"/>
      <c r="D2" s="49"/>
      <c r="E2" s="49"/>
      <c r="F2" s="49"/>
      <c r="G2" s="49"/>
      <c r="H2" s="49"/>
    </row>
    <row r="4" spans="1:8" ht="21.95" customHeight="1" x14ac:dyDescent="0.25">
      <c r="A4" s="1" t="s">
        <v>23</v>
      </c>
      <c r="B4" s="1" t="s">
        <v>24</v>
      </c>
      <c r="C4" s="1" t="s">
        <v>25</v>
      </c>
      <c r="D4" s="1" t="s">
        <v>26</v>
      </c>
    </row>
    <row r="5" spans="1:8" ht="21.9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</row>
    <row r="6" spans="1:8" ht="21.95" customHeight="1" x14ac:dyDescent="0.25">
      <c r="A6" s="3" t="s">
        <v>31</v>
      </c>
      <c r="B6" s="3" t="s">
        <v>32</v>
      </c>
      <c r="C6" s="3" t="s">
        <v>33</v>
      </c>
      <c r="D6" s="3" t="s">
        <v>34</v>
      </c>
    </row>
    <row r="7" spans="1:8" ht="21.95" customHeight="1" x14ac:dyDescent="0.25">
      <c r="A7" s="2" t="s">
        <v>35</v>
      </c>
      <c r="B7" s="2" t="s">
        <v>36</v>
      </c>
      <c r="C7" s="2" t="s">
        <v>37</v>
      </c>
      <c r="D7" s="2" t="s">
        <v>38</v>
      </c>
    </row>
    <row r="8" spans="1:8" ht="21.95" customHeight="1" x14ac:dyDescent="0.25">
      <c r="A8" s="3" t="s">
        <v>39</v>
      </c>
      <c r="B8" s="3" t="s">
        <v>40</v>
      </c>
      <c r="C8" s="3" t="s">
        <v>41</v>
      </c>
      <c r="D8" s="3" t="s">
        <v>42</v>
      </c>
    </row>
    <row r="9" spans="1:8" ht="21.95" customHeight="1" x14ac:dyDescent="0.25">
      <c r="A9" s="2" t="s">
        <v>43</v>
      </c>
      <c r="B9" s="2" t="s">
        <v>44</v>
      </c>
      <c r="C9" s="2" t="s">
        <v>45</v>
      </c>
      <c r="D9" s="2" t="s">
        <v>46</v>
      </c>
    </row>
    <row r="10" spans="1:8" ht="21.95" customHeight="1" x14ac:dyDescent="0.25">
      <c r="A10" s="3" t="s">
        <v>47</v>
      </c>
      <c r="B10" s="3" t="s">
        <v>48</v>
      </c>
      <c r="C10" s="3" t="s">
        <v>49</v>
      </c>
      <c r="D10" s="3" t="s">
        <v>46</v>
      </c>
    </row>
    <row r="11" spans="1:8" ht="21.95" customHeight="1" x14ac:dyDescent="0.25">
      <c r="A11" s="2" t="s">
        <v>50</v>
      </c>
      <c r="B11" s="2" t="s">
        <v>51</v>
      </c>
      <c r="C11" s="2" t="s">
        <v>52</v>
      </c>
      <c r="D11" s="2" t="s">
        <v>53</v>
      </c>
    </row>
    <row r="12" spans="1:8" ht="21.95" customHeight="1" x14ac:dyDescent="0.25">
      <c r="A12" s="3" t="s">
        <v>54</v>
      </c>
      <c r="B12" s="3" t="s">
        <v>55</v>
      </c>
      <c r="C12" s="3" t="s">
        <v>56</v>
      </c>
      <c r="D12" s="3" t="s">
        <v>53</v>
      </c>
    </row>
    <row r="13" spans="1:8" ht="21.95" customHeight="1" x14ac:dyDescent="0.25">
      <c r="A13" s="2" t="s">
        <v>57</v>
      </c>
      <c r="B13" s="2" t="s">
        <v>58</v>
      </c>
      <c r="C13" s="2" t="s">
        <v>59</v>
      </c>
      <c r="D13" s="2" t="s">
        <v>60</v>
      </c>
    </row>
    <row r="14" spans="1:8" ht="21.95" customHeight="1" x14ac:dyDescent="0.25">
      <c r="A14" s="3" t="s">
        <v>61</v>
      </c>
      <c r="B14" s="3" t="s">
        <v>61</v>
      </c>
      <c r="C14" s="3" t="s">
        <v>62</v>
      </c>
      <c r="D14" s="3" t="s">
        <v>63</v>
      </c>
    </row>
    <row r="15" spans="1:8" ht="21.95" customHeight="1" x14ac:dyDescent="0.25">
      <c r="A15" s="2" t="s">
        <v>64</v>
      </c>
      <c r="B15" s="2" t="s">
        <v>64</v>
      </c>
      <c r="C15" s="2" t="s">
        <v>65</v>
      </c>
      <c r="D15" s="2" t="s">
        <v>66</v>
      </c>
    </row>
    <row r="16" spans="1:8" ht="21.95" customHeight="1" x14ac:dyDescent="0.25">
      <c r="A16" s="3" t="s">
        <v>67</v>
      </c>
      <c r="B16" s="3" t="s">
        <v>67</v>
      </c>
      <c r="C16" s="3" t="s">
        <v>68</v>
      </c>
      <c r="D16" s="3" t="s">
        <v>66</v>
      </c>
    </row>
    <row r="18" spans="1:4" ht="20.100000000000001" customHeight="1" x14ac:dyDescent="0.25">
      <c r="A18" s="44" t="s">
        <v>69</v>
      </c>
      <c r="B18" s="45"/>
      <c r="C18" s="45"/>
      <c r="D18" s="46"/>
    </row>
    <row r="19" spans="1:4" ht="18" customHeight="1" x14ac:dyDescent="0.25">
      <c r="A19" s="4"/>
      <c r="B19" s="47" t="s">
        <v>70</v>
      </c>
      <c r="C19" s="45"/>
      <c r="D19" s="46"/>
    </row>
    <row r="20" spans="1:4" ht="18" customHeight="1" x14ac:dyDescent="0.25">
      <c r="A20" s="5"/>
      <c r="B20" s="47" t="s">
        <v>71</v>
      </c>
      <c r="C20" s="45"/>
      <c r="D20" s="46"/>
    </row>
    <row r="21" spans="1:4" ht="18" customHeight="1" x14ac:dyDescent="0.25">
      <c r="A21" s="6"/>
      <c r="B21" s="47" t="s">
        <v>72</v>
      </c>
      <c r="C21" s="45"/>
      <c r="D21" s="46"/>
    </row>
    <row r="22" spans="1:4" ht="18" customHeight="1" x14ac:dyDescent="0.25">
      <c r="A22" s="7"/>
      <c r="B22" s="47" t="s">
        <v>73</v>
      </c>
      <c r="C22" s="45"/>
      <c r="D22" s="46"/>
    </row>
    <row r="23" spans="1:4" ht="18" customHeight="1" x14ac:dyDescent="0.25">
      <c r="A23" s="8"/>
      <c r="B23" s="47" t="s">
        <v>74</v>
      </c>
      <c r="C23" s="45"/>
      <c r="D23" s="46"/>
    </row>
  </sheetData>
  <mergeCells count="8">
    <mergeCell ref="A1:H1"/>
    <mergeCell ref="B20:D20"/>
    <mergeCell ref="A18:D18"/>
    <mergeCell ref="B19:D19"/>
    <mergeCell ref="B23:D23"/>
    <mergeCell ref="B22:D22"/>
    <mergeCell ref="A2:H2"/>
    <mergeCell ref="B21:D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17.28515625" style="11" bestFit="1" customWidth="1"/>
    <col min="4" max="4" width="43.5703125" style="11" bestFit="1" customWidth="1"/>
    <col min="5" max="5" width="3.5703125" style="11" bestFit="1" customWidth="1"/>
    <col min="6" max="6" width="15.28515625" style="11" customWidth="1"/>
    <col min="7" max="7" width="11.42578125" style="11" bestFit="1" customWidth="1"/>
    <col min="8" max="8" width="9.7109375" style="11" bestFit="1" customWidth="1"/>
    <col min="9" max="9" width="9.42578125" style="11" bestFit="1" customWidth="1"/>
    <col min="10" max="10" width="9.28515625" style="11" bestFit="1" customWidth="1"/>
    <col min="11" max="11" width="13.7109375" style="11" bestFit="1" customWidth="1"/>
    <col min="12" max="12" width="20.42578125" style="11" bestFit="1" customWidth="1"/>
    <col min="13" max="13" width="21" style="11" bestFit="1" customWidth="1"/>
    <col min="14" max="14" width="21.42578125" style="11" bestFit="1" customWidth="1"/>
    <col min="15" max="15" width="9.140625" style="11" customWidth="1"/>
    <col min="16" max="16384" width="9.140625" style="11"/>
  </cols>
  <sheetData>
    <row r="1" spans="1:14" ht="30" customHeight="1" x14ac:dyDescent="0.25">
      <c r="A1" s="42" t="s">
        <v>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36" customHeight="1" x14ac:dyDescent="0.25">
      <c r="A2" s="12" t="s">
        <v>1</v>
      </c>
      <c r="B2" s="12" t="s">
        <v>2</v>
      </c>
      <c r="C2" s="13" t="s">
        <v>3</v>
      </c>
      <c r="D2" s="13" t="s">
        <v>4</v>
      </c>
      <c r="E2" s="13" t="s">
        <v>5</v>
      </c>
      <c r="F2" s="13" t="s">
        <v>6</v>
      </c>
      <c r="G2" s="13" t="s">
        <v>7</v>
      </c>
      <c r="H2" s="13" t="s">
        <v>8</v>
      </c>
      <c r="I2" s="13" t="s">
        <v>9</v>
      </c>
      <c r="J2" s="13" t="s">
        <v>10</v>
      </c>
      <c r="K2" s="13" t="s">
        <v>11</v>
      </c>
      <c r="L2" s="13" t="s">
        <v>12</v>
      </c>
      <c r="M2" s="13" t="s">
        <v>13</v>
      </c>
      <c r="N2" s="13" t="s">
        <v>14</v>
      </c>
    </row>
    <row r="3" spans="1:14" x14ac:dyDescent="0.25">
      <c r="A3" s="30" t="s">
        <v>15</v>
      </c>
      <c r="B3" s="15">
        <v>102021</v>
      </c>
      <c r="C3" s="30" t="s">
        <v>15</v>
      </c>
      <c r="D3" s="16" t="s">
        <v>16</v>
      </c>
      <c r="E3" s="16" t="s">
        <v>17</v>
      </c>
      <c r="F3" s="16"/>
      <c r="G3" s="17"/>
      <c r="H3" s="17"/>
      <c r="I3" s="16"/>
      <c r="J3" s="16"/>
      <c r="K3" s="16"/>
      <c r="L3" s="16"/>
      <c r="M3" s="17"/>
      <c r="N3" s="16" t="s">
        <v>18</v>
      </c>
    </row>
    <row r="4" spans="1:14" x14ac:dyDescent="0.25">
      <c r="A4" s="30" t="s">
        <v>19</v>
      </c>
      <c r="B4" s="15">
        <v>102021</v>
      </c>
      <c r="C4" s="30" t="s">
        <v>19</v>
      </c>
      <c r="D4" s="16" t="s">
        <v>16</v>
      </c>
      <c r="E4" s="31" t="s">
        <v>17</v>
      </c>
      <c r="N4" s="16" t="s">
        <v>18</v>
      </c>
    </row>
    <row r="5" spans="1:14" x14ac:dyDescent="0.25">
      <c r="A5" s="30" t="s">
        <v>20</v>
      </c>
      <c r="B5" s="15">
        <v>102021</v>
      </c>
      <c r="C5" s="30" t="s">
        <v>20</v>
      </c>
      <c r="D5" s="16" t="s">
        <v>16</v>
      </c>
      <c r="E5" s="31" t="s">
        <v>17</v>
      </c>
      <c r="N5" s="16" t="s">
        <v>18</v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"/>
  <sheetViews>
    <sheetView showGridLines="0" workbookViewId="0">
      <pane ySplit="2" topLeftCell="A3" activePane="bottomLeft" state="frozen"/>
      <selection pane="bottomLeft" activeCell="A5" sqref="A5"/>
    </sheetView>
  </sheetViews>
  <sheetFormatPr defaultRowHeight="15.75" x14ac:dyDescent="0.25"/>
  <cols>
    <col min="1" max="1" width="21.7109375" style="11" bestFit="1" customWidth="1"/>
    <col min="2" max="2" width="11.85546875" style="11" bestFit="1" customWidth="1"/>
    <col min="3" max="3" width="13.7109375" style="11" bestFit="1" customWidth="1"/>
    <col min="4" max="4" width="39.5703125" style="11" bestFit="1" customWidth="1"/>
    <col min="5" max="5" width="12.85546875" style="11" bestFit="1" customWidth="1"/>
    <col min="6" max="6" width="21.7109375" style="11" bestFit="1" customWidth="1"/>
    <col min="7" max="7" width="5.7109375" style="11" bestFit="1" customWidth="1"/>
    <col min="8" max="8" width="3.42578125" style="11" bestFit="1" customWidth="1"/>
    <col min="9" max="9" width="13.140625" style="11" bestFit="1" customWidth="1"/>
    <col min="10" max="10" width="12.42578125" style="11" bestFit="1" customWidth="1"/>
    <col min="11" max="11" width="23.28515625" style="11" bestFit="1" customWidth="1"/>
    <col min="12" max="12" width="6.7109375" style="11" bestFit="1" customWidth="1"/>
    <col min="13" max="13" width="9.5703125" style="11" bestFit="1" customWidth="1"/>
    <col min="14" max="14" width="10.140625" style="11" bestFit="1" customWidth="1"/>
    <col min="15" max="15" width="9.140625" style="11" customWidth="1"/>
    <col min="16" max="16384" width="9.140625" style="11"/>
  </cols>
  <sheetData>
    <row r="1" spans="1:14" ht="30" customHeight="1" x14ac:dyDescent="0.25">
      <c r="A1" s="42" t="s">
        <v>75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</row>
    <row r="2" spans="1:14" ht="36" customHeight="1" x14ac:dyDescent="0.25">
      <c r="A2" s="12" t="s">
        <v>1</v>
      </c>
      <c r="B2" s="12" t="s">
        <v>2</v>
      </c>
      <c r="C2" s="13" t="s">
        <v>76</v>
      </c>
      <c r="D2" s="13" t="s">
        <v>77</v>
      </c>
      <c r="E2" s="13" t="s">
        <v>78</v>
      </c>
      <c r="F2" s="13" t="s">
        <v>3</v>
      </c>
      <c r="G2" s="13" t="s">
        <v>79</v>
      </c>
      <c r="H2" s="13" t="s">
        <v>80</v>
      </c>
      <c r="I2" s="13" t="s">
        <v>6</v>
      </c>
      <c r="J2" s="13" t="s">
        <v>81</v>
      </c>
      <c r="K2" s="13" t="s">
        <v>82</v>
      </c>
      <c r="L2" s="13" t="s">
        <v>83</v>
      </c>
      <c r="M2" s="13" t="s">
        <v>84</v>
      </c>
      <c r="N2" s="13" t="s">
        <v>85</v>
      </c>
    </row>
    <row r="3" spans="1:14" x14ac:dyDescent="0.25">
      <c r="A3" s="30" t="s">
        <v>15</v>
      </c>
      <c r="B3" s="15">
        <v>102021</v>
      </c>
      <c r="C3" s="30" t="s">
        <v>86</v>
      </c>
      <c r="D3" s="30" t="s">
        <v>87</v>
      </c>
      <c r="E3" s="30" t="s">
        <v>88</v>
      </c>
      <c r="F3" s="30" t="s">
        <v>89</v>
      </c>
      <c r="G3" s="17"/>
      <c r="H3" s="17"/>
      <c r="I3" s="17"/>
      <c r="J3" s="17"/>
      <c r="K3" s="17"/>
      <c r="L3" s="17"/>
      <c r="M3" s="17"/>
      <c r="N3" s="17"/>
    </row>
    <row r="4" spans="1:14" x14ac:dyDescent="0.25">
      <c r="A4" s="30" t="s">
        <v>19</v>
      </c>
      <c r="B4" s="15">
        <v>102021</v>
      </c>
      <c r="C4" s="30" t="s">
        <v>90</v>
      </c>
      <c r="D4" s="30" t="s">
        <v>91</v>
      </c>
      <c r="E4" s="30" t="s">
        <v>88</v>
      </c>
      <c r="F4" s="30" t="s">
        <v>92</v>
      </c>
    </row>
    <row r="5" spans="1:14" x14ac:dyDescent="0.25">
      <c r="A5" s="30" t="s">
        <v>15</v>
      </c>
      <c r="B5" s="15">
        <v>102021</v>
      </c>
      <c r="C5" s="30" t="s">
        <v>93</v>
      </c>
      <c r="D5" s="30" t="s">
        <v>94</v>
      </c>
      <c r="E5" s="30" t="s">
        <v>88</v>
      </c>
      <c r="F5" s="30" t="s">
        <v>95</v>
      </c>
    </row>
    <row r="6" spans="1:14" x14ac:dyDescent="0.25">
      <c r="A6" s="30" t="s">
        <v>20</v>
      </c>
      <c r="B6" s="15">
        <v>102021</v>
      </c>
      <c r="C6" s="30" t="s">
        <v>96</v>
      </c>
      <c r="D6" s="30" t="s">
        <v>97</v>
      </c>
      <c r="E6" s="30" t="s">
        <v>88</v>
      </c>
      <c r="F6" s="30" t="s">
        <v>98</v>
      </c>
    </row>
    <row r="7" spans="1:14" x14ac:dyDescent="0.25">
      <c r="A7" s="30" t="s">
        <v>15</v>
      </c>
      <c r="B7" s="15">
        <v>102021</v>
      </c>
      <c r="C7" s="30" t="s">
        <v>99</v>
      </c>
      <c r="D7" s="30" t="s">
        <v>100</v>
      </c>
      <c r="E7" s="30" t="s">
        <v>88</v>
      </c>
      <c r="F7" s="30" t="s">
        <v>101</v>
      </c>
    </row>
    <row r="8" spans="1:14" x14ac:dyDescent="0.25">
      <c r="A8" s="30" t="s">
        <v>15</v>
      </c>
      <c r="B8" s="15">
        <v>102021</v>
      </c>
      <c r="C8" s="30" t="s">
        <v>102</v>
      </c>
      <c r="D8" s="30" t="s">
        <v>103</v>
      </c>
      <c r="E8" s="30" t="s">
        <v>88</v>
      </c>
      <c r="F8" s="30" t="s">
        <v>104</v>
      </c>
    </row>
    <row r="9" spans="1:14" x14ac:dyDescent="0.25">
      <c r="A9" s="30" t="s">
        <v>15</v>
      </c>
      <c r="B9" s="15">
        <v>102021</v>
      </c>
      <c r="C9" s="30" t="s">
        <v>105</v>
      </c>
      <c r="D9" s="30" t="s">
        <v>106</v>
      </c>
      <c r="E9" s="30" t="s">
        <v>88</v>
      </c>
      <c r="F9" s="30" t="s">
        <v>107</v>
      </c>
    </row>
    <row r="10" spans="1:14" x14ac:dyDescent="0.25">
      <c r="A10" s="30" t="s">
        <v>20</v>
      </c>
      <c r="B10" s="15">
        <v>102021</v>
      </c>
      <c r="C10" s="30" t="s">
        <v>108</v>
      </c>
      <c r="D10" s="30" t="s">
        <v>109</v>
      </c>
      <c r="E10" s="30" t="s">
        <v>88</v>
      </c>
      <c r="F10" s="30" t="s">
        <v>110</v>
      </c>
    </row>
  </sheetData>
  <mergeCells count="1">
    <mergeCell ref="A1:N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"/>
  <sheetViews>
    <sheetView showGridLines="0" workbookViewId="0">
      <pane ySplit="2" topLeftCell="A3" activePane="bottomLeft" state="frozen"/>
      <selection pane="bottomLeft" sqref="A1:XFD1048576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5.85546875" style="11" bestFit="1" customWidth="1"/>
    <col min="4" max="4" width="8.7109375" style="11" bestFit="1" customWidth="1"/>
    <col min="5" max="5" width="9.140625" style="11" customWidth="1"/>
    <col min="6" max="16384" width="9.140625" style="11"/>
  </cols>
  <sheetData>
    <row r="1" spans="1:8" ht="30" customHeight="1" x14ac:dyDescent="0.25">
      <c r="A1" s="42" t="s">
        <v>111</v>
      </c>
      <c r="B1" s="43"/>
      <c r="C1" s="43"/>
      <c r="D1" s="43"/>
      <c r="E1" s="43"/>
      <c r="F1" s="43"/>
      <c r="G1" s="43"/>
      <c r="H1" s="43"/>
    </row>
    <row r="2" spans="1:8" ht="36" customHeight="1" x14ac:dyDescent="0.25">
      <c r="A2" s="12" t="s">
        <v>1</v>
      </c>
      <c r="B2" s="12" t="s">
        <v>2</v>
      </c>
      <c r="C2" s="13" t="s">
        <v>112</v>
      </c>
      <c r="D2" s="13" t="s">
        <v>113</v>
      </c>
    </row>
    <row r="3" spans="1:8" x14ac:dyDescent="0.25">
      <c r="A3" s="14" t="s">
        <v>114</v>
      </c>
      <c r="B3" s="15" t="s">
        <v>115</v>
      </c>
      <c r="C3" s="16" t="s">
        <v>116</v>
      </c>
      <c r="D3" s="16" t="s">
        <v>117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showGridLines="0" workbookViewId="0">
      <pane ySplit="2" topLeftCell="A3" activePane="bottomLeft" state="frozen"/>
      <selection pane="bottomLeft" activeCell="F18" sqref="F18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10.7109375" style="11" bestFit="1" customWidth="1"/>
    <col min="4" max="4" width="45.28515625" style="11" bestFit="1" customWidth="1"/>
    <col min="5" max="5" width="12.7109375" style="11" bestFit="1" customWidth="1"/>
    <col min="6" max="6" width="7.28515625" style="11" bestFit="1" customWidth="1"/>
    <col min="7" max="7" width="9" style="11" bestFit="1" customWidth="1"/>
    <col min="8" max="8" width="9.140625" style="11" bestFit="1" customWidth="1"/>
    <col min="9" max="9" width="4.85546875" style="11" bestFit="1" customWidth="1"/>
    <col min="10" max="10" width="5.85546875" style="11" bestFit="1" customWidth="1"/>
    <col min="11" max="11" width="7.28515625" style="11" bestFit="1" customWidth="1"/>
    <col min="12" max="12" width="6.85546875" style="11" bestFit="1" customWidth="1"/>
    <col min="13" max="13" width="9.140625" style="11" customWidth="1"/>
    <col min="14" max="16384" width="9.140625" style="11"/>
  </cols>
  <sheetData>
    <row r="1" spans="1:12" ht="30" customHeight="1" x14ac:dyDescent="0.25">
      <c r="A1" s="42" t="s">
        <v>118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</row>
    <row r="2" spans="1:12" ht="36" customHeight="1" x14ac:dyDescent="0.25">
      <c r="A2" s="12" t="s">
        <v>1</v>
      </c>
      <c r="B2" s="12" t="s">
        <v>2</v>
      </c>
      <c r="C2" s="13" t="s">
        <v>119</v>
      </c>
      <c r="D2" s="13" t="s">
        <v>120</v>
      </c>
      <c r="E2" s="13" t="s">
        <v>121</v>
      </c>
      <c r="F2" s="13" t="s">
        <v>122</v>
      </c>
      <c r="G2" s="13" t="s">
        <v>123</v>
      </c>
      <c r="H2" s="13" t="s">
        <v>124</v>
      </c>
      <c r="I2" s="13" t="s">
        <v>125</v>
      </c>
      <c r="J2" s="13" t="s">
        <v>126</v>
      </c>
      <c r="K2" s="13" t="s">
        <v>127</v>
      </c>
      <c r="L2" s="13" t="s">
        <v>128</v>
      </c>
    </row>
    <row r="3" spans="1:12" x14ac:dyDescent="0.25">
      <c r="A3" s="18" t="s">
        <v>15</v>
      </c>
      <c r="B3" s="15">
        <v>102021</v>
      </c>
      <c r="C3" s="16" t="s">
        <v>129</v>
      </c>
      <c r="D3" s="19" t="s">
        <v>130</v>
      </c>
      <c r="E3" s="17"/>
      <c r="F3" s="16"/>
      <c r="G3" s="20" t="s">
        <v>131</v>
      </c>
      <c r="H3" s="17"/>
      <c r="I3" s="17"/>
      <c r="J3" s="17"/>
      <c r="K3" s="17"/>
      <c r="L3" s="17"/>
    </row>
    <row r="4" spans="1:12" x14ac:dyDescent="0.25">
      <c r="A4" s="18" t="s">
        <v>19</v>
      </c>
      <c r="B4" s="15">
        <v>102021</v>
      </c>
      <c r="C4" s="16" t="s">
        <v>132</v>
      </c>
      <c r="D4" s="19" t="s">
        <v>133</v>
      </c>
      <c r="G4" s="20" t="s">
        <v>131</v>
      </c>
    </row>
    <row r="5" spans="1:12" x14ac:dyDescent="0.25">
      <c r="A5" s="18" t="s">
        <v>15</v>
      </c>
      <c r="B5" s="15">
        <v>102021</v>
      </c>
      <c r="C5" s="16" t="s">
        <v>134</v>
      </c>
      <c r="D5" s="19" t="s">
        <v>135</v>
      </c>
      <c r="G5" s="20" t="s">
        <v>131</v>
      </c>
    </row>
    <row r="6" spans="1:12" x14ac:dyDescent="0.25">
      <c r="A6" s="18" t="s">
        <v>20</v>
      </c>
      <c r="B6" s="15">
        <v>102021</v>
      </c>
      <c r="C6" s="16" t="s">
        <v>136</v>
      </c>
      <c r="D6" s="19" t="s">
        <v>137</v>
      </c>
      <c r="G6" s="20" t="s">
        <v>131</v>
      </c>
    </row>
    <row r="7" spans="1:12" x14ac:dyDescent="0.25">
      <c r="A7" s="18" t="s">
        <v>15</v>
      </c>
      <c r="B7" s="15">
        <v>102021</v>
      </c>
      <c r="C7" s="16" t="s">
        <v>138</v>
      </c>
      <c r="D7" s="19" t="s">
        <v>130</v>
      </c>
      <c r="G7" s="20" t="s">
        <v>131</v>
      </c>
    </row>
    <row r="8" spans="1:12" x14ac:dyDescent="0.25">
      <c r="A8" s="18" t="s">
        <v>15</v>
      </c>
      <c r="B8" s="15">
        <v>102021</v>
      </c>
      <c r="C8" s="16" t="s">
        <v>139</v>
      </c>
      <c r="D8" s="19" t="s">
        <v>140</v>
      </c>
      <c r="G8" s="20" t="s">
        <v>131</v>
      </c>
    </row>
    <row r="9" spans="1:12" x14ac:dyDescent="0.25">
      <c r="A9" s="18" t="s">
        <v>15</v>
      </c>
      <c r="B9" s="15">
        <v>102021</v>
      </c>
      <c r="C9" s="16" t="s">
        <v>141</v>
      </c>
      <c r="D9" s="19" t="s">
        <v>142</v>
      </c>
      <c r="G9" s="20" t="s">
        <v>131</v>
      </c>
    </row>
    <row r="10" spans="1:12" x14ac:dyDescent="0.25">
      <c r="A10" s="18" t="s">
        <v>15</v>
      </c>
      <c r="B10" s="15">
        <v>102021</v>
      </c>
      <c r="C10" s="16" t="s">
        <v>143</v>
      </c>
      <c r="D10" s="19" t="s">
        <v>144</v>
      </c>
      <c r="G10" s="20" t="s">
        <v>131</v>
      </c>
    </row>
    <row r="11" spans="1:12" x14ac:dyDescent="0.25">
      <c r="A11" s="18" t="s">
        <v>20</v>
      </c>
      <c r="B11" s="15">
        <v>102021</v>
      </c>
      <c r="C11" s="16" t="s">
        <v>145</v>
      </c>
      <c r="D11" s="19" t="s">
        <v>133</v>
      </c>
      <c r="G11" s="20" t="s">
        <v>131</v>
      </c>
    </row>
    <row r="12" spans="1:12" x14ac:dyDescent="0.25">
      <c r="A12" s="18" t="s">
        <v>20</v>
      </c>
      <c r="B12" s="15">
        <v>102021</v>
      </c>
      <c r="C12" s="16" t="s">
        <v>146</v>
      </c>
      <c r="D12" s="19" t="s">
        <v>133</v>
      </c>
      <c r="G12" s="20" t="s">
        <v>131</v>
      </c>
    </row>
    <row r="13" spans="1:12" x14ac:dyDescent="0.25">
      <c r="A13" s="18" t="s">
        <v>20</v>
      </c>
      <c r="B13" s="15">
        <v>102021</v>
      </c>
      <c r="C13" s="16" t="s">
        <v>147</v>
      </c>
      <c r="D13" s="19" t="s">
        <v>133</v>
      </c>
      <c r="G13" s="20" t="s">
        <v>131</v>
      </c>
    </row>
    <row r="14" spans="1:12" x14ac:dyDescent="0.25">
      <c r="A14" s="18" t="s">
        <v>20</v>
      </c>
      <c r="B14" s="15">
        <v>102021</v>
      </c>
      <c r="C14" s="16" t="s">
        <v>148</v>
      </c>
      <c r="D14" s="19" t="s">
        <v>133</v>
      </c>
      <c r="G14" s="20" t="s">
        <v>131</v>
      </c>
    </row>
    <row r="15" spans="1:12" x14ac:dyDescent="0.25">
      <c r="A15" s="18" t="s">
        <v>20</v>
      </c>
      <c r="B15" s="15">
        <v>102021</v>
      </c>
      <c r="C15" s="16" t="s">
        <v>149</v>
      </c>
      <c r="D15" s="19" t="s">
        <v>133</v>
      </c>
      <c r="G15" s="20" t="s">
        <v>131</v>
      </c>
    </row>
    <row r="16" spans="1:12" x14ac:dyDescent="0.25">
      <c r="A16" s="18" t="s">
        <v>20</v>
      </c>
      <c r="B16" s="15">
        <v>102021</v>
      </c>
      <c r="C16" s="16" t="s">
        <v>150</v>
      </c>
      <c r="D16" s="19" t="s">
        <v>133</v>
      </c>
      <c r="G16" s="20" t="s">
        <v>131</v>
      </c>
    </row>
    <row r="17" spans="1:7" x14ac:dyDescent="0.25">
      <c r="A17" s="18" t="s">
        <v>20</v>
      </c>
      <c r="B17" s="15">
        <v>102021</v>
      </c>
      <c r="C17" s="16" t="s">
        <v>151</v>
      </c>
      <c r="D17" s="19" t="s">
        <v>133</v>
      </c>
      <c r="G17" s="20" t="s">
        <v>131</v>
      </c>
    </row>
    <row r="18" spans="1:7" x14ac:dyDescent="0.25">
      <c r="A18" s="18" t="s">
        <v>20</v>
      </c>
      <c r="B18" s="15">
        <v>102021</v>
      </c>
      <c r="C18" s="16" t="s">
        <v>152</v>
      </c>
      <c r="D18" s="19" t="s">
        <v>133</v>
      </c>
      <c r="G18" s="20" t="s">
        <v>131</v>
      </c>
    </row>
    <row r="19" spans="1:7" x14ac:dyDescent="0.25">
      <c r="A19" s="18" t="s">
        <v>20</v>
      </c>
      <c r="B19" s="15">
        <v>102021</v>
      </c>
      <c r="C19" s="16" t="s">
        <v>153</v>
      </c>
      <c r="D19" s="19" t="s">
        <v>133</v>
      </c>
      <c r="G19" s="20" t="s">
        <v>131</v>
      </c>
    </row>
    <row r="20" spans="1:7" x14ac:dyDescent="0.25">
      <c r="A20" s="18" t="s">
        <v>20</v>
      </c>
      <c r="B20" s="15">
        <v>102021</v>
      </c>
      <c r="C20" s="16" t="s">
        <v>154</v>
      </c>
      <c r="D20" s="19" t="s">
        <v>133</v>
      </c>
      <c r="G20" s="20" t="s">
        <v>131</v>
      </c>
    </row>
    <row r="21" spans="1:7" x14ac:dyDescent="0.25">
      <c r="A21" s="18" t="s">
        <v>20</v>
      </c>
      <c r="B21" s="15">
        <v>102021</v>
      </c>
      <c r="C21" s="16" t="s">
        <v>155</v>
      </c>
      <c r="D21" s="19" t="s">
        <v>133</v>
      </c>
      <c r="G21" s="20" t="s">
        <v>131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"/>
  <sheetViews>
    <sheetView showGridLines="0" workbookViewId="0">
      <pane ySplit="2" topLeftCell="A3" activePane="bottomLeft" state="frozen"/>
      <selection pane="bottomLeft" activeCell="Q33" sqref="Q33"/>
    </sheetView>
  </sheetViews>
  <sheetFormatPr defaultRowHeight="15.75" x14ac:dyDescent="0.25"/>
  <cols>
    <col min="1" max="1" width="12" style="11" customWidth="1"/>
    <col min="2" max="2" width="14" style="11" customWidth="1"/>
    <col min="3" max="3" width="45" style="11" customWidth="1"/>
    <col min="4" max="4" width="9.140625" style="11" customWidth="1"/>
    <col min="5" max="16384" width="9.140625" style="11"/>
  </cols>
  <sheetData>
    <row r="1" spans="1:8" ht="30" customHeight="1" x14ac:dyDescent="0.25">
      <c r="A1" s="42" t="s">
        <v>156</v>
      </c>
      <c r="B1" s="43"/>
      <c r="C1" s="43"/>
      <c r="D1" s="43"/>
      <c r="E1" s="43"/>
      <c r="F1" s="43"/>
      <c r="G1" s="43"/>
      <c r="H1" s="43"/>
    </row>
    <row r="2" spans="1:8" ht="36" customHeight="1" x14ac:dyDescent="0.25">
      <c r="A2" s="12" t="s">
        <v>2</v>
      </c>
      <c r="B2" s="13" t="s">
        <v>157</v>
      </c>
      <c r="C2" s="13" t="s">
        <v>158</v>
      </c>
    </row>
    <row r="3" spans="1:8" x14ac:dyDescent="0.25">
      <c r="A3" s="15" t="s">
        <v>115</v>
      </c>
      <c r="B3" s="16" t="s">
        <v>159</v>
      </c>
      <c r="C3" s="16" t="s">
        <v>160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9"/>
  <sheetViews>
    <sheetView showGridLines="0" tabSelected="1" workbookViewId="0">
      <pane ySplit="2" topLeftCell="A3" activePane="bottomLeft" state="frozen"/>
      <selection pane="bottomLeft" activeCell="H3" sqref="H3"/>
    </sheetView>
  </sheetViews>
  <sheetFormatPr defaultRowHeight="15" x14ac:dyDescent="0.25"/>
  <cols>
    <col min="1" max="2" width="12" customWidth="1"/>
    <col min="3" max="3" width="14" customWidth="1"/>
    <col min="4" max="4" width="16" customWidth="1"/>
    <col min="5" max="5" width="8" customWidth="1"/>
    <col min="6" max="6" width="16" customWidth="1"/>
    <col min="7" max="7" width="45.28515625" bestFit="1" customWidth="1"/>
    <col min="8" max="9" width="20" customWidth="1"/>
  </cols>
  <sheetData>
    <row r="1" spans="1:12" ht="30" customHeight="1" x14ac:dyDescent="0.25">
      <c r="A1" s="60" t="s">
        <v>303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36" customHeight="1" x14ac:dyDescent="0.25">
      <c r="A2" s="63" t="s">
        <v>2</v>
      </c>
      <c r="B2" s="63" t="s">
        <v>304</v>
      </c>
      <c r="C2" s="63" t="s">
        <v>305</v>
      </c>
      <c r="D2" s="63" t="s">
        <v>306</v>
      </c>
      <c r="E2" s="63" t="s">
        <v>307</v>
      </c>
      <c r="F2" s="63" t="s">
        <v>178</v>
      </c>
      <c r="G2" s="63" t="s">
        <v>308</v>
      </c>
      <c r="H2" s="63" t="s">
        <v>309</v>
      </c>
      <c r="I2" s="63" t="s">
        <v>310</v>
      </c>
    </row>
    <row r="3" spans="1:12" ht="15.75" x14ac:dyDescent="0.25">
      <c r="A3" s="61">
        <v>44470</v>
      </c>
      <c r="B3" s="62">
        <v>43100</v>
      </c>
      <c r="C3" s="64" t="s">
        <v>291</v>
      </c>
      <c r="D3" s="65" t="s">
        <v>311</v>
      </c>
      <c r="E3" s="65" t="s">
        <v>312</v>
      </c>
      <c r="F3" s="65" t="s">
        <v>208</v>
      </c>
      <c r="G3" s="65" t="s">
        <v>400</v>
      </c>
      <c r="H3" s="65"/>
      <c r="I3" s="65"/>
    </row>
    <row r="4" spans="1:12" ht="15.75" x14ac:dyDescent="0.25">
      <c r="A4" s="61">
        <v>44470</v>
      </c>
      <c r="B4" s="62">
        <v>43100</v>
      </c>
      <c r="C4" s="64" t="s">
        <v>291</v>
      </c>
      <c r="D4" s="65" t="s">
        <v>311</v>
      </c>
      <c r="E4" s="65" t="s">
        <v>312</v>
      </c>
      <c r="F4" s="66" t="s">
        <v>210</v>
      </c>
      <c r="G4" s="66" t="s">
        <v>313</v>
      </c>
      <c r="H4" s="66"/>
      <c r="I4" s="66"/>
    </row>
    <row r="5" spans="1:12" ht="15.75" x14ac:dyDescent="0.25">
      <c r="A5" s="61">
        <v>44470</v>
      </c>
      <c r="B5" s="62">
        <v>43100</v>
      </c>
      <c r="C5" s="64" t="s">
        <v>291</v>
      </c>
      <c r="D5" s="65" t="s">
        <v>311</v>
      </c>
      <c r="E5" s="65" t="s">
        <v>312</v>
      </c>
      <c r="F5" s="66" t="s">
        <v>211</v>
      </c>
      <c r="G5" s="66" t="s">
        <v>135</v>
      </c>
      <c r="H5" s="66"/>
      <c r="I5" s="66"/>
    </row>
    <row r="6" spans="1:12" ht="15.75" x14ac:dyDescent="0.25">
      <c r="A6" s="61">
        <v>44470</v>
      </c>
      <c r="B6" s="62">
        <v>43100</v>
      </c>
      <c r="C6" s="64" t="s">
        <v>291</v>
      </c>
      <c r="D6" s="65" t="s">
        <v>311</v>
      </c>
      <c r="E6" s="65" t="s">
        <v>312</v>
      </c>
      <c r="F6" s="66" t="s">
        <v>212</v>
      </c>
      <c r="G6" s="66" t="s">
        <v>401</v>
      </c>
      <c r="H6" s="66"/>
      <c r="I6" s="66"/>
    </row>
    <row r="7" spans="1:12" ht="15.75" x14ac:dyDescent="0.25">
      <c r="A7" s="61">
        <v>44470</v>
      </c>
      <c r="B7" s="62">
        <v>43100</v>
      </c>
      <c r="C7" s="64" t="s">
        <v>291</v>
      </c>
      <c r="D7" s="65" t="s">
        <v>311</v>
      </c>
      <c r="E7" s="65" t="s">
        <v>312</v>
      </c>
      <c r="F7" s="66" t="s">
        <v>213</v>
      </c>
      <c r="G7" s="66" t="s">
        <v>402</v>
      </c>
      <c r="H7" s="66"/>
      <c r="I7" s="66"/>
    </row>
    <row r="8" spans="1:12" ht="15.75" x14ac:dyDescent="0.25">
      <c r="A8" s="61">
        <v>44470</v>
      </c>
      <c r="B8" s="62">
        <v>43100</v>
      </c>
      <c r="C8" s="64" t="s">
        <v>291</v>
      </c>
      <c r="D8" s="65" t="s">
        <v>311</v>
      </c>
      <c r="E8" s="65" t="s">
        <v>312</v>
      </c>
      <c r="F8" s="66" t="s">
        <v>214</v>
      </c>
      <c r="G8" s="66" t="s">
        <v>403</v>
      </c>
      <c r="H8" s="66"/>
      <c r="I8" s="66"/>
    </row>
    <row r="9" spans="1:12" ht="15.75" x14ac:dyDescent="0.25">
      <c r="A9" s="61">
        <v>44470</v>
      </c>
      <c r="B9" s="62">
        <v>43100</v>
      </c>
      <c r="C9" s="64" t="s">
        <v>291</v>
      </c>
      <c r="D9" s="65" t="s">
        <v>311</v>
      </c>
      <c r="E9" s="65" t="s">
        <v>312</v>
      </c>
      <c r="F9" s="66" t="s">
        <v>215</v>
      </c>
      <c r="G9" s="66" t="s">
        <v>404</v>
      </c>
      <c r="H9" s="66"/>
      <c r="I9" s="66"/>
    </row>
  </sheetData>
  <mergeCells count="1">
    <mergeCell ref="A1:L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22"/>
  <sheetViews>
    <sheetView showGridLines="0" workbookViewId="0">
      <pane ySplit="3" topLeftCell="A4" activePane="bottomLeft" state="frozen"/>
      <selection pane="bottomLeft" activeCell="M17" sqref="M17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6.85546875" style="11" bestFit="1" customWidth="1"/>
    <col min="4" max="4" width="6.42578125" style="11" bestFit="1" customWidth="1"/>
    <col min="5" max="5" width="20.85546875" style="11" bestFit="1" customWidth="1"/>
    <col min="6" max="6" width="11" style="11" bestFit="1" customWidth="1"/>
    <col min="7" max="7" width="7.5703125" style="11" bestFit="1" customWidth="1"/>
    <col min="8" max="8" width="4.7109375" style="11" bestFit="1" customWidth="1"/>
    <col min="9" max="9" width="5" style="11" bestFit="1" customWidth="1"/>
    <col min="10" max="10" width="10.85546875" style="11" bestFit="1" customWidth="1"/>
    <col min="11" max="11" width="10.42578125" style="11" bestFit="1" customWidth="1"/>
    <col min="12" max="13" width="11.5703125" style="11" bestFit="1" customWidth="1"/>
    <col min="14" max="14" width="8" style="11" customWidth="1"/>
    <col min="15" max="15" width="10" style="11" bestFit="1" customWidth="1"/>
    <col min="16" max="16" width="8" style="11" customWidth="1"/>
    <col min="17" max="17" width="8.85546875" style="11" bestFit="1" customWidth="1"/>
    <col min="18" max="18" width="9.42578125" style="11" bestFit="1" customWidth="1"/>
    <col min="19" max="19" width="10.85546875" style="11" bestFit="1" customWidth="1"/>
    <col min="20" max="20" width="9.42578125" style="11" bestFit="1" customWidth="1"/>
    <col min="21" max="21" width="8.85546875" style="11" bestFit="1" customWidth="1"/>
    <col min="22" max="22" width="14" style="11" customWidth="1"/>
    <col min="23" max="23" width="9.28515625" style="11" bestFit="1" customWidth="1"/>
    <col min="24" max="24" width="11.5703125" style="11" bestFit="1" customWidth="1"/>
    <col min="25" max="25" width="8" style="11" customWidth="1"/>
    <col min="26" max="26" width="10.7109375" style="11" bestFit="1" customWidth="1"/>
    <col min="27" max="27" width="15.5703125" style="11" bestFit="1" customWidth="1"/>
    <col min="28" max="28" width="11.5703125" style="11" bestFit="1" customWidth="1"/>
    <col min="29" max="29" width="11.85546875" style="11" bestFit="1" customWidth="1"/>
    <col min="30" max="30" width="9.140625" style="11" bestFit="1" customWidth="1"/>
    <col min="31" max="31" width="8.7109375" style="11" bestFit="1" customWidth="1"/>
    <col min="32" max="32" width="7.42578125" style="11" bestFit="1" customWidth="1"/>
    <col min="33" max="33" width="13.42578125" style="11" bestFit="1" customWidth="1"/>
    <col min="34" max="34" width="9.42578125" style="11" bestFit="1" customWidth="1"/>
    <col min="35" max="35" width="10.85546875" style="11" bestFit="1" customWidth="1"/>
    <col min="36" max="36" width="7" style="11" bestFit="1" customWidth="1"/>
    <col min="37" max="37" width="14" style="11" customWidth="1"/>
    <col min="38" max="38" width="10.42578125" style="11" bestFit="1" customWidth="1"/>
    <col min="39" max="39" width="11.5703125" style="11" bestFit="1" customWidth="1"/>
    <col min="40" max="40" width="13.7109375" style="11" bestFit="1" customWidth="1"/>
    <col min="41" max="41" width="11.85546875" style="11" bestFit="1" customWidth="1"/>
    <col min="42" max="42" width="9.140625" style="11" customWidth="1"/>
    <col min="43" max="16384" width="9.140625" style="11"/>
  </cols>
  <sheetData>
    <row r="1" spans="1:41" ht="30" customHeight="1" x14ac:dyDescent="0.25">
      <c r="A1" s="42" t="s">
        <v>161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</row>
    <row r="2" spans="1:41" ht="18" customHeight="1" x14ac:dyDescent="0.25">
      <c r="A2" s="42" t="s">
        <v>162</v>
      </c>
      <c r="B2" s="43"/>
      <c r="C2" s="52" t="s">
        <v>163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51" t="s">
        <v>164</v>
      </c>
      <c r="R2" s="43"/>
      <c r="S2" s="43"/>
      <c r="T2" s="43"/>
      <c r="U2" s="43"/>
      <c r="V2" s="43"/>
      <c r="W2" s="43"/>
      <c r="X2" s="43"/>
      <c r="Y2" s="53" t="s">
        <v>165</v>
      </c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43"/>
      <c r="AK2" s="43"/>
      <c r="AL2" s="43"/>
      <c r="AM2" s="43"/>
      <c r="AN2" s="43"/>
      <c r="AO2" s="43"/>
    </row>
    <row r="3" spans="1:41" ht="39.950000000000003" customHeight="1" x14ac:dyDescent="0.25">
      <c r="A3" s="12" t="s">
        <v>1</v>
      </c>
      <c r="B3" s="12" t="s">
        <v>2</v>
      </c>
      <c r="C3" s="13" t="s">
        <v>166</v>
      </c>
      <c r="D3" s="13" t="s">
        <v>167</v>
      </c>
      <c r="E3" s="13" t="s">
        <v>168</v>
      </c>
      <c r="F3" s="13" t="s">
        <v>169</v>
      </c>
      <c r="G3" s="13" t="s">
        <v>170</v>
      </c>
      <c r="H3" s="13" t="s">
        <v>171</v>
      </c>
      <c r="I3" s="13" t="s">
        <v>172</v>
      </c>
      <c r="J3" s="13" t="s">
        <v>173</v>
      </c>
      <c r="K3" s="13" t="s">
        <v>174</v>
      </c>
      <c r="L3" s="13" t="s">
        <v>175</v>
      </c>
      <c r="M3" s="13" t="s">
        <v>176</v>
      </c>
      <c r="N3" s="13" t="s">
        <v>177</v>
      </c>
      <c r="O3" s="13" t="s">
        <v>178</v>
      </c>
      <c r="P3" s="13" t="s">
        <v>6</v>
      </c>
      <c r="Q3" s="25" t="s">
        <v>179</v>
      </c>
      <c r="R3" s="25" t="s">
        <v>180</v>
      </c>
      <c r="S3" s="25" t="s">
        <v>181</v>
      </c>
      <c r="T3" s="25" t="s">
        <v>182</v>
      </c>
      <c r="U3" s="25" t="s">
        <v>183</v>
      </c>
      <c r="V3" s="25" t="s">
        <v>184</v>
      </c>
      <c r="W3" s="25" t="s">
        <v>185</v>
      </c>
      <c r="X3" s="25" t="s">
        <v>186</v>
      </c>
      <c r="Y3" s="26" t="s">
        <v>187</v>
      </c>
      <c r="Z3" s="26" t="s">
        <v>119</v>
      </c>
      <c r="AA3" s="26" t="s">
        <v>188</v>
      </c>
      <c r="AB3" s="26" t="s">
        <v>189</v>
      </c>
      <c r="AC3" s="26" t="s">
        <v>190</v>
      </c>
      <c r="AD3" s="26" t="s">
        <v>191</v>
      </c>
      <c r="AE3" s="26" t="s">
        <v>192</v>
      </c>
      <c r="AF3" s="26" t="s">
        <v>193</v>
      </c>
      <c r="AG3" s="26" t="s">
        <v>194</v>
      </c>
      <c r="AH3" s="26" t="s">
        <v>195</v>
      </c>
      <c r="AI3" s="26" t="s">
        <v>196</v>
      </c>
      <c r="AJ3" s="26" t="s">
        <v>197</v>
      </c>
      <c r="AK3" s="26" t="s">
        <v>198</v>
      </c>
      <c r="AL3" s="26" t="s">
        <v>199</v>
      </c>
      <c r="AM3" s="26" t="s">
        <v>200</v>
      </c>
      <c r="AN3" s="26" t="s">
        <v>201</v>
      </c>
      <c r="AO3" s="26" t="s">
        <v>202</v>
      </c>
    </row>
    <row r="4" spans="1:41" x14ac:dyDescent="0.25">
      <c r="A4" s="18" t="s">
        <v>15</v>
      </c>
      <c r="B4" s="15">
        <v>102021</v>
      </c>
      <c r="C4" s="16">
        <v>0</v>
      </c>
      <c r="D4" s="16">
        <v>1</v>
      </c>
      <c r="E4" s="18" t="s">
        <v>86</v>
      </c>
      <c r="F4" s="16" t="s">
        <v>203</v>
      </c>
      <c r="G4" s="16" t="s">
        <v>204</v>
      </c>
      <c r="H4" s="17"/>
      <c r="I4" s="17"/>
      <c r="J4" s="19">
        <v>2282950</v>
      </c>
      <c r="K4" s="17"/>
      <c r="L4" s="22">
        <v>44474</v>
      </c>
      <c r="M4" s="22">
        <v>44474</v>
      </c>
      <c r="N4" s="17">
        <v>1</v>
      </c>
      <c r="O4" s="17"/>
      <c r="P4" s="17"/>
      <c r="Q4" s="27" t="s">
        <v>205</v>
      </c>
      <c r="R4" s="27" t="s">
        <v>205</v>
      </c>
      <c r="S4" s="27" t="s">
        <v>205</v>
      </c>
      <c r="T4" s="27" t="s">
        <v>205</v>
      </c>
      <c r="U4" s="27" t="s">
        <v>205</v>
      </c>
      <c r="V4" s="27" t="s">
        <v>205</v>
      </c>
      <c r="W4" s="27" t="s">
        <v>205</v>
      </c>
      <c r="X4" s="27" t="s">
        <v>205</v>
      </c>
      <c r="Y4" s="23">
        <v>1</v>
      </c>
      <c r="Z4" s="16" t="s">
        <v>129</v>
      </c>
      <c r="AA4" s="17"/>
      <c r="AB4" s="24">
        <v>2771.6</v>
      </c>
      <c r="AC4" s="17" t="s">
        <v>206</v>
      </c>
      <c r="AD4" s="17"/>
      <c r="AE4" s="17"/>
      <c r="AF4" s="16" t="s">
        <v>207</v>
      </c>
      <c r="AG4" s="24">
        <v>2771.6</v>
      </c>
      <c r="AH4" s="17">
        <v>1.65</v>
      </c>
      <c r="AI4" s="28">
        <f t="shared" ref="AI4:AI22" si="0">ROUND(AG4*1.65%,2)</f>
        <v>45.73</v>
      </c>
      <c r="AJ4" s="16" t="s">
        <v>207</v>
      </c>
      <c r="AK4" s="24">
        <v>2771.6</v>
      </c>
      <c r="AL4" s="17">
        <v>7.6</v>
      </c>
      <c r="AM4" s="28">
        <f t="shared" ref="AM4:AM22" si="1">ROUND(AK4*7.6%,2)</f>
        <v>210.64</v>
      </c>
      <c r="AN4" s="21" t="s">
        <v>208</v>
      </c>
      <c r="AO4" s="17"/>
    </row>
    <row r="5" spans="1:41" x14ac:dyDescent="0.25">
      <c r="A5" s="18" t="s">
        <v>19</v>
      </c>
      <c r="B5" s="15">
        <v>102021</v>
      </c>
      <c r="C5" s="16">
        <v>0</v>
      </c>
      <c r="D5" s="16">
        <v>1</v>
      </c>
      <c r="E5" s="18" t="s">
        <v>90</v>
      </c>
      <c r="F5" s="16" t="s">
        <v>203</v>
      </c>
      <c r="G5" s="16" t="s">
        <v>204</v>
      </c>
      <c r="J5" s="19">
        <v>6676</v>
      </c>
      <c r="L5" s="22">
        <v>44474</v>
      </c>
      <c r="M5" s="22">
        <v>44474</v>
      </c>
      <c r="N5" s="17">
        <v>1</v>
      </c>
      <c r="Y5" s="23">
        <v>1</v>
      </c>
      <c r="Z5" s="11" t="s">
        <v>209</v>
      </c>
      <c r="AB5" s="24">
        <v>28616.29</v>
      </c>
      <c r="AC5" s="17" t="s">
        <v>206</v>
      </c>
      <c r="AF5" s="16" t="s">
        <v>207</v>
      </c>
      <c r="AG5" s="24">
        <v>28616.29</v>
      </c>
      <c r="AH5" s="17">
        <v>1.65</v>
      </c>
      <c r="AI5" s="28">
        <f t="shared" si="0"/>
        <v>472.17</v>
      </c>
      <c r="AJ5" s="16" t="s">
        <v>207</v>
      </c>
      <c r="AK5" s="24">
        <v>28616.29</v>
      </c>
      <c r="AL5" s="17">
        <v>7.6</v>
      </c>
      <c r="AM5" s="28">
        <f t="shared" si="1"/>
        <v>2174.84</v>
      </c>
      <c r="AN5" s="21" t="s">
        <v>210</v>
      </c>
    </row>
    <row r="6" spans="1:41" x14ac:dyDescent="0.25">
      <c r="A6" s="18" t="s">
        <v>15</v>
      </c>
      <c r="B6" s="15">
        <v>102021</v>
      </c>
      <c r="C6" s="16">
        <v>0</v>
      </c>
      <c r="D6" s="16">
        <v>1</v>
      </c>
      <c r="E6" s="18" t="s">
        <v>93</v>
      </c>
      <c r="F6" s="16" t="s">
        <v>203</v>
      </c>
      <c r="G6" s="16" t="s">
        <v>204</v>
      </c>
      <c r="J6" s="19">
        <v>15868</v>
      </c>
      <c r="L6" s="22">
        <v>44474</v>
      </c>
      <c r="M6" s="22">
        <v>44474</v>
      </c>
      <c r="N6" s="17">
        <v>1</v>
      </c>
      <c r="Y6" s="23">
        <v>1</v>
      </c>
      <c r="Z6" s="16" t="s">
        <v>134</v>
      </c>
      <c r="AB6" s="24">
        <v>1110</v>
      </c>
      <c r="AC6" s="17" t="s">
        <v>206</v>
      </c>
      <c r="AF6" s="16" t="s">
        <v>207</v>
      </c>
      <c r="AG6" s="24">
        <v>1110</v>
      </c>
      <c r="AH6" s="17">
        <v>1.65</v>
      </c>
      <c r="AI6" s="28">
        <f t="shared" si="0"/>
        <v>18.32</v>
      </c>
      <c r="AJ6" s="16" t="s">
        <v>207</v>
      </c>
      <c r="AK6" s="24">
        <v>1110</v>
      </c>
      <c r="AL6" s="17">
        <v>7.6</v>
      </c>
      <c r="AM6" s="28">
        <f t="shared" si="1"/>
        <v>84.36</v>
      </c>
      <c r="AN6" s="21" t="s">
        <v>211</v>
      </c>
    </row>
    <row r="7" spans="1:41" x14ac:dyDescent="0.25">
      <c r="A7" s="18" t="s">
        <v>20</v>
      </c>
      <c r="B7" s="15">
        <v>102021</v>
      </c>
      <c r="C7" s="16">
        <v>0</v>
      </c>
      <c r="D7" s="16">
        <v>1</v>
      </c>
      <c r="E7" s="18" t="s">
        <v>96</v>
      </c>
      <c r="F7" s="16" t="s">
        <v>203</v>
      </c>
      <c r="G7" s="16" t="s">
        <v>204</v>
      </c>
      <c r="J7" s="19">
        <v>1190</v>
      </c>
      <c r="L7" s="22">
        <v>44474</v>
      </c>
      <c r="M7" s="22">
        <v>44474</v>
      </c>
      <c r="N7" s="17">
        <v>1</v>
      </c>
      <c r="Y7" s="23">
        <v>1</v>
      </c>
      <c r="Z7" s="11" t="s">
        <v>136</v>
      </c>
      <c r="AB7" s="24">
        <v>3074.02</v>
      </c>
      <c r="AC7" s="17" t="s">
        <v>206</v>
      </c>
      <c r="AF7" s="16" t="s">
        <v>207</v>
      </c>
      <c r="AG7" s="24">
        <v>3074.02</v>
      </c>
      <c r="AH7" s="17">
        <v>1.65</v>
      </c>
      <c r="AI7" s="28">
        <f t="shared" si="0"/>
        <v>50.72</v>
      </c>
      <c r="AJ7" s="16" t="s">
        <v>207</v>
      </c>
      <c r="AK7" s="24">
        <v>3074.02</v>
      </c>
      <c r="AL7" s="17">
        <v>7.6</v>
      </c>
      <c r="AM7" s="28">
        <f t="shared" si="1"/>
        <v>233.63</v>
      </c>
      <c r="AN7" s="21" t="s">
        <v>212</v>
      </c>
    </row>
    <row r="8" spans="1:41" x14ac:dyDescent="0.25">
      <c r="A8" s="18" t="s">
        <v>15</v>
      </c>
      <c r="B8" s="15">
        <v>102021</v>
      </c>
      <c r="C8" s="16">
        <v>0</v>
      </c>
      <c r="D8" s="16">
        <v>1</v>
      </c>
      <c r="E8" s="18" t="s">
        <v>86</v>
      </c>
      <c r="F8" s="16" t="s">
        <v>203</v>
      </c>
      <c r="G8" s="16" t="s">
        <v>204</v>
      </c>
      <c r="J8" s="19">
        <v>2293663</v>
      </c>
      <c r="L8" s="22">
        <v>44475</v>
      </c>
      <c r="M8" s="22">
        <v>44475</v>
      </c>
      <c r="N8" s="17">
        <v>1</v>
      </c>
      <c r="Y8" s="23">
        <v>1</v>
      </c>
      <c r="Z8" s="16" t="s">
        <v>138</v>
      </c>
      <c r="AB8" s="24">
        <v>246</v>
      </c>
      <c r="AC8" s="17" t="s">
        <v>206</v>
      </c>
      <c r="AF8" s="16" t="s">
        <v>207</v>
      </c>
      <c r="AG8" s="24">
        <v>246</v>
      </c>
      <c r="AH8" s="17">
        <v>1.65</v>
      </c>
      <c r="AI8" s="28">
        <f t="shared" si="0"/>
        <v>4.0599999999999996</v>
      </c>
      <c r="AJ8" s="16" t="s">
        <v>207</v>
      </c>
      <c r="AK8" s="24">
        <v>246</v>
      </c>
      <c r="AL8" s="17">
        <v>7.6</v>
      </c>
      <c r="AM8" s="28">
        <f t="shared" si="1"/>
        <v>18.7</v>
      </c>
      <c r="AN8" s="21" t="s">
        <v>208</v>
      </c>
    </row>
    <row r="9" spans="1:41" x14ac:dyDescent="0.25">
      <c r="A9" s="18" t="s">
        <v>15</v>
      </c>
      <c r="B9" s="15">
        <v>102021</v>
      </c>
      <c r="C9" s="16">
        <v>0</v>
      </c>
      <c r="D9" s="16">
        <v>1</v>
      </c>
      <c r="E9" s="18" t="s">
        <v>99</v>
      </c>
      <c r="F9" s="16" t="s">
        <v>203</v>
      </c>
      <c r="G9" s="16" t="s">
        <v>204</v>
      </c>
      <c r="J9" s="19">
        <v>191</v>
      </c>
      <c r="L9" s="22">
        <v>44476</v>
      </c>
      <c r="M9" s="22">
        <v>44476</v>
      </c>
      <c r="N9" s="17">
        <v>1</v>
      </c>
      <c r="Y9" s="23">
        <v>1</v>
      </c>
      <c r="Z9" s="11" t="s">
        <v>139</v>
      </c>
      <c r="AB9" s="24">
        <v>4000</v>
      </c>
      <c r="AC9" s="17" t="s">
        <v>206</v>
      </c>
      <c r="AF9" s="16" t="s">
        <v>207</v>
      </c>
      <c r="AG9" s="24">
        <v>4000</v>
      </c>
      <c r="AH9" s="17">
        <v>1.65</v>
      </c>
      <c r="AI9" s="28">
        <f t="shared" si="0"/>
        <v>66</v>
      </c>
      <c r="AJ9" s="16" t="s">
        <v>207</v>
      </c>
      <c r="AK9" s="24">
        <v>4000</v>
      </c>
      <c r="AL9" s="17">
        <v>7.6</v>
      </c>
      <c r="AM9" s="28">
        <f t="shared" si="1"/>
        <v>304</v>
      </c>
      <c r="AN9" s="21" t="s">
        <v>213</v>
      </c>
    </row>
    <row r="10" spans="1:41" x14ac:dyDescent="0.25">
      <c r="A10" s="18" t="s">
        <v>15</v>
      </c>
      <c r="B10" s="15">
        <v>102021</v>
      </c>
      <c r="C10" s="16">
        <v>0</v>
      </c>
      <c r="D10" s="16">
        <v>1</v>
      </c>
      <c r="E10" s="18" t="s">
        <v>102</v>
      </c>
      <c r="F10" s="16" t="s">
        <v>203</v>
      </c>
      <c r="G10" s="16" t="s">
        <v>204</v>
      </c>
      <c r="J10" s="19">
        <v>16540</v>
      </c>
      <c r="L10" s="22">
        <v>44476</v>
      </c>
      <c r="M10" s="22">
        <v>44476</v>
      </c>
      <c r="N10" s="17">
        <v>1</v>
      </c>
      <c r="Y10" s="23">
        <v>1</v>
      </c>
      <c r="Z10" s="16" t="s">
        <v>141</v>
      </c>
      <c r="AB10" s="24">
        <v>2019.1</v>
      </c>
      <c r="AC10" s="17" t="s">
        <v>206</v>
      </c>
      <c r="AF10" s="16" t="s">
        <v>207</v>
      </c>
      <c r="AG10" s="24">
        <v>2019.1</v>
      </c>
      <c r="AH10" s="17">
        <v>1.65</v>
      </c>
      <c r="AI10" s="28">
        <f t="shared" si="0"/>
        <v>33.32</v>
      </c>
      <c r="AJ10" s="16" t="s">
        <v>207</v>
      </c>
      <c r="AK10" s="24">
        <v>2019.1</v>
      </c>
      <c r="AL10" s="17">
        <v>7.6</v>
      </c>
      <c r="AM10" s="28">
        <f t="shared" si="1"/>
        <v>153.44999999999999</v>
      </c>
      <c r="AN10" s="21" t="s">
        <v>214</v>
      </c>
    </row>
    <row r="11" spans="1:41" x14ac:dyDescent="0.25">
      <c r="A11" s="18" t="s">
        <v>15</v>
      </c>
      <c r="B11" s="15">
        <v>102021</v>
      </c>
      <c r="C11" s="16">
        <v>0</v>
      </c>
      <c r="D11" s="16">
        <v>1</v>
      </c>
      <c r="E11" s="18" t="s">
        <v>105</v>
      </c>
      <c r="F11" s="16" t="s">
        <v>203</v>
      </c>
      <c r="G11" s="16" t="s">
        <v>204</v>
      </c>
      <c r="J11" s="19">
        <v>98</v>
      </c>
      <c r="L11" s="22">
        <v>44477</v>
      </c>
      <c r="M11" s="22">
        <v>44477</v>
      </c>
      <c r="N11" s="17">
        <v>1</v>
      </c>
      <c r="Y11" s="23">
        <v>1</v>
      </c>
      <c r="Z11" s="11" t="s">
        <v>143</v>
      </c>
      <c r="AB11" s="24">
        <v>2000</v>
      </c>
      <c r="AC11" s="17" t="s">
        <v>206</v>
      </c>
      <c r="AF11" s="16" t="s">
        <v>207</v>
      </c>
      <c r="AG11" s="24">
        <v>2000</v>
      </c>
      <c r="AH11" s="17">
        <v>1.65</v>
      </c>
      <c r="AI11" s="28">
        <f t="shared" si="0"/>
        <v>33</v>
      </c>
      <c r="AJ11" s="16" t="s">
        <v>207</v>
      </c>
      <c r="AK11" s="24">
        <v>2000</v>
      </c>
      <c r="AL11" s="17">
        <v>7.6</v>
      </c>
      <c r="AM11" s="28">
        <f t="shared" si="1"/>
        <v>152</v>
      </c>
      <c r="AN11" s="21" t="s">
        <v>215</v>
      </c>
    </row>
    <row r="12" spans="1:41" x14ac:dyDescent="0.25">
      <c r="A12" s="18" t="s">
        <v>20</v>
      </c>
      <c r="B12" s="15">
        <v>102021</v>
      </c>
      <c r="C12" s="16">
        <v>0</v>
      </c>
      <c r="D12" s="16">
        <v>1</v>
      </c>
      <c r="E12" s="18" t="s">
        <v>108</v>
      </c>
      <c r="F12" s="16" t="s">
        <v>203</v>
      </c>
      <c r="G12" s="16" t="s">
        <v>204</v>
      </c>
      <c r="J12" s="19">
        <v>2579569</v>
      </c>
      <c r="L12" s="22">
        <v>44495</v>
      </c>
      <c r="M12" s="22">
        <v>44495</v>
      </c>
      <c r="N12" s="17">
        <v>1</v>
      </c>
      <c r="Y12" s="23">
        <v>1</v>
      </c>
      <c r="Z12" s="16" t="s">
        <v>145</v>
      </c>
      <c r="AB12" s="24">
        <v>265.48</v>
      </c>
      <c r="AC12" s="17" t="s">
        <v>206</v>
      </c>
      <c r="AF12" s="16" t="s">
        <v>207</v>
      </c>
      <c r="AG12" s="24">
        <v>265.48</v>
      </c>
      <c r="AH12" s="17">
        <v>1.65</v>
      </c>
      <c r="AI12" s="28">
        <f t="shared" si="0"/>
        <v>4.38</v>
      </c>
      <c r="AJ12" s="16" t="s">
        <v>207</v>
      </c>
      <c r="AK12" s="24">
        <v>265.48</v>
      </c>
      <c r="AL12" s="17">
        <v>7.6</v>
      </c>
      <c r="AM12" s="28">
        <f t="shared" si="1"/>
        <v>20.18</v>
      </c>
      <c r="AN12" s="21" t="s">
        <v>210</v>
      </c>
    </row>
    <row r="13" spans="1:41" x14ac:dyDescent="0.25">
      <c r="A13" s="18" t="s">
        <v>20</v>
      </c>
      <c r="B13" s="15">
        <v>102021</v>
      </c>
      <c r="C13" s="16">
        <v>0</v>
      </c>
      <c r="D13" s="16">
        <v>1</v>
      </c>
      <c r="E13" s="18" t="s">
        <v>108</v>
      </c>
      <c r="F13" s="16" t="s">
        <v>203</v>
      </c>
      <c r="G13" s="16" t="s">
        <v>204</v>
      </c>
      <c r="J13" s="19">
        <v>2579569</v>
      </c>
      <c r="L13" s="22">
        <v>44495</v>
      </c>
      <c r="M13" s="22">
        <v>44495</v>
      </c>
      <c r="N13" s="17">
        <v>1</v>
      </c>
      <c r="Y13" s="23">
        <v>2</v>
      </c>
      <c r="Z13" s="11" t="s">
        <v>146</v>
      </c>
      <c r="AB13" s="24">
        <v>265.48</v>
      </c>
      <c r="AC13" s="17" t="s">
        <v>206</v>
      </c>
      <c r="AF13" s="16" t="s">
        <v>207</v>
      </c>
      <c r="AG13" s="24">
        <v>265.48</v>
      </c>
      <c r="AH13" s="17">
        <v>1.65</v>
      </c>
      <c r="AI13" s="28">
        <f t="shared" si="0"/>
        <v>4.38</v>
      </c>
      <c r="AJ13" s="16" t="s">
        <v>207</v>
      </c>
      <c r="AK13" s="24">
        <v>265.48</v>
      </c>
      <c r="AL13" s="17">
        <v>7.6</v>
      </c>
      <c r="AM13" s="28">
        <f t="shared" si="1"/>
        <v>20.18</v>
      </c>
      <c r="AN13" s="21" t="s">
        <v>210</v>
      </c>
    </row>
    <row r="14" spans="1:41" x14ac:dyDescent="0.25">
      <c r="A14" s="18" t="s">
        <v>20</v>
      </c>
      <c r="B14" s="15">
        <v>102021</v>
      </c>
      <c r="C14" s="16">
        <v>0</v>
      </c>
      <c r="D14" s="16">
        <v>1</v>
      </c>
      <c r="E14" s="18" t="s">
        <v>108</v>
      </c>
      <c r="F14" s="16" t="s">
        <v>203</v>
      </c>
      <c r="G14" s="16" t="s">
        <v>204</v>
      </c>
      <c r="J14" s="19">
        <v>2579569</v>
      </c>
      <c r="L14" s="22">
        <v>44495</v>
      </c>
      <c r="M14" s="22">
        <v>44495</v>
      </c>
      <c r="N14" s="17">
        <v>1</v>
      </c>
      <c r="Y14" s="23">
        <v>3</v>
      </c>
      <c r="Z14" s="16" t="s">
        <v>147</v>
      </c>
      <c r="AB14" s="24">
        <v>266.02999999999997</v>
      </c>
      <c r="AC14" s="17" t="s">
        <v>206</v>
      </c>
      <c r="AF14" s="16" t="s">
        <v>207</v>
      </c>
      <c r="AG14" s="24">
        <v>266.02999999999997</v>
      </c>
      <c r="AH14" s="17">
        <v>1.65</v>
      </c>
      <c r="AI14" s="28">
        <f t="shared" si="0"/>
        <v>4.3899999999999997</v>
      </c>
      <c r="AJ14" s="16" t="s">
        <v>207</v>
      </c>
      <c r="AK14" s="24">
        <v>266.02999999999997</v>
      </c>
      <c r="AL14" s="17">
        <v>7.6</v>
      </c>
      <c r="AM14" s="28">
        <f t="shared" si="1"/>
        <v>20.22</v>
      </c>
      <c r="AN14" s="21" t="s">
        <v>210</v>
      </c>
    </row>
    <row r="15" spans="1:41" x14ac:dyDescent="0.25">
      <c r="A15" s="18" t="s">
        <v>20</v>
      </c>
      <c r="B15" s="15">
        <v>102021</v>
      </c>
      <c r="C15" s="16">
        <v>0</v>
      </c>
      <c r="D15" s="16">
        <v>1</v>
      </c>
      <c r="E15" s="18" t="s">
        <v>108</v>
      </c>
      <c r="F15" s="16" t="s">
        <v>203</v>
      </c>
      <c r="G15" s="16" t="s">
        <v>204</v>
      </c>
      <c r="J15" s="19">
        <v>2579569</v>
      </c>
      <c r="L15" s="22">
        <v>44495</v>
      </c>
      <c r="M15" s="22">
        <v>44495</v>
      </c>
      <c r="N15" s="17">
        <v>1</v>
      </c>
      <c r="Y15" s="23">
        <v>4</v>
      </c>
      <c r="Z15" s="11" t="s">
        <v>148</v>
      </c>
      <c r="AB15" s="24">
        <v>265.48</v>
      </c>
      <c r="AC15" s="17" t="s">
        <v>206</v>
      </c>
      <c r="AF15" s="16" t="s">
        <v>207</v>
      </c>
      <c r="AG15" s="24">
        <v>265.48</v>
      </c>
      <c r="AH15" s="17">
        <v>1.65</v>
      </c>
      <c r="AI15" s="28">
        <f t="shared" si="0"/>
        <v>4.38</v>
      </c>
      <c r="AJ15" s="16" t="s">
        <v>207</v>
      </c>
      <c r="AK15" s="24">
        <v>265.48</v>
      </c>
      <c r="AL15" s="17">
        <v>7.6</v>
      </c>
      <c r="AM15" s="28">
        <f t="shared" si="1"/>
        <v>20.18</v>
      </c>
      <c r="AN15" s="21" t="s">
        <v>210</v>
      </c>
    </row>
    <row r="16" spans="1:41" x14ac:dyDescent="0.25">
      <c r="A16" s="18" t="s">
        <v>20</v>
      </c>
      <c r="B16" s="15">
        <v>102021</v>
      </c>
      <c r="C16" s="16">
        <v>0</v>
      </c>
      <c r="D16" s="16">
        <v>1</v>
      </c>
      <c r="E16" s="18" t="s">
        <v>108</v>
      </c>
      <c r="F16" s="16" t="s">
        <v>203</v>
      </c>
      <c r="G16" s="16" t="s">
        <v>204</v>
      </c>
      <c r="J16" s="19">
        <v>2579569</v>
      </c>
      <c r="L16" s="22">
        <v>44495</v>
      </c>
      <c r="M16" s="22">
        <v>44495</v>
      </c>
      <c r="N16" s="17">
        <v>1</v>
      </c>
      <c r="Y16" s="23">
        <v>5</v>
      </c>
      <c r="Z16" s="16" t="s">
        <v>149</v>
      </c>
      <c r="AB16" s="24">
        <v>265.48</v>
      </c>
      <c r="AC16" s="17" t="s">
        <v>206</v>
      </c>
      <c r="AF16" s="16" t="s">
        <v>207</v>
      </c>
      <c r="AG16" s="24">
        <v>265.48</v>
      </c>
      <c r="AH16" s="17">
        <v>1.65</v>
      </c>
      <c r="AI16" s="28">
        <f t="shared" si="0"/>
        <v>4.38</v>
      </c>
      <c r="AJ16" s="16" t="s">
        <v>207</v>
      </c>
      <c r="AK16" s="24">
        <v>265.48</v>
      </c>
      <c r="AL16" s="17">
        <v>7.6</v>
      </c>
      <c r="AM16" s="28">
        <f t="shared" si="1"/>
        <v>20.18</v>
      </c>
      <c r="AN16" s="21" t="s">
        <v>210</v>
      </c>
    </row>
    <row r="17" spans="1:40" x14ac:dyDescent="0.25">
      <c r="A17" s="18" t="s">
        <v>20</v>
      </c>
      <c r="B17" s="15">
        <v>102021</v>
      </c>
      <c r="C17" s="16">
        <v>0</v>
      </c>
      <c r="D17" s="16">
        <v>1</v>
      </c>
      <c r="E17" s="18" t="s">
        <v>108</v>
      </c>
      <c r="F17" s="16" t="s">
        <v>203</v>
      </c>
      <c r="G17" s="16" t="s">
        <v>204</v>
      </c>
      <c r="J17" s="19">
        <v>2579569</v>
      </c>
      <c r="L17" s="22">
        <v>44495</v>
      </c>
      <c r="M17" s="22">
        <v>44495</v>
      </c>
      <c r="N17" s="17">
        <v>1</v>
      </c>
      <c r="Y17" s="23">
        <v>7</v>
      </c>
      <c r="Z17" s="11" t="s">
        <v>150</v>
      </c>
      <c r="AB17" s="24">
        <v>268.77999999999997</v>
      </c>
      <c r="AC17" s="17" t="s">
        <v>206</v>
      </c>
      <c r="AF17" s="16" t="s">
        <v>207</v>
      </c>
      <c r="AG17" s="24">
        <v>268.77999999999997</v>
      </c>
      <c r="AH17" s="17">
        <v>1.65</v>
      </c>
      <c r="AI17" s="28">
        <f t="shared" si="0"/>
        <v>4.43</v>
      </c>
      <c r="AJ17" s="16" t="s">
        <v>207</v>
      </c>
      <c r="AK17" s="24">
        <v>268.77999999999997</v>
      </c>
      <c r="AL17" s="17">
        <v>7.6</v>
      </c>
      <c r="AM17" s="28">
        <f t="shared" si="1"/>
        <v>20.43</v>
      </c>
      <c r="AN17" s="21" t="s">
        <v>210</v>
      </c>
    </row>
    <row r="18" spans="1:40" x14ac:dyDescent="0.25">
      <c r="A18" s="18" t="s">
        <v>20</v>
      </c>
      <c r="B18" s="15">
        <v>102021</v>
      </c>
      <c r="C18" s="16">
        <v>0</v>
      </c>
      <c r="D18" s="16">
        <v>1</v>
      </c>
      <c r="E18" s="18" t="s">
        <v>108</v>
      </c>
      <c r="F18" s="16" t="s">
        <v>203</v>
      </c>
      <c r="G18" s="16" t="s">
        <v>204</v>
      </c>
      <c r="J18" s="19">
        <v>2599243</v>
      </c>
      <c r="L18" s="22">
        <v>44495</v>
      </c>
      <c r="M18" s="22">
        <v>44495</v>
      </c>
      <c r="N18" s="17">
        <v>1</v>
      </c>
      <c r="Y18" s="23">
        <v>1</v>
      </c>
      <c r="Z18" s="16" t="s">
        <v>151</v>
      </c>
      <c r="AB18" s="24">
        <v>268.23</v>
      </c>
      <c r="AC18" s="17" t="s">
        <v>206</v>
      </c>
      <c r="AF18" s="16" t="s">
        <v>207</v>
      </c>
      <c r="AG18" s="24">
        <v>268.23</v>
      </c>
      <c r="AH18" s="17">
        <v>1.65</v>
      </c>
      <c r="AI18" s="28">
        <f t="shared" si="0"/>
        <v>4.43</v>
      </c>
      <c r="AJ18" s="16" t="s">
        <v>207</v>
      </c>
      <c r="AK18" s="24">
        <v>268.23</v>
      </c>
      <c r="AL18" s="17">
        <v>7.6</v>
      </c>
      <c r="AM18" s="28">
        <f t="shared" si="1"/>
        <v>20.39</v>
      </c>
      <c r="AN18" s="21" t="s">
        <v>210</v>
      </c>
    </row>
    <row r="19" spans="1:40" x14ac:dyDescent="0.25">
      <c r="A19" s="18" t="s">
        <v>20</v>
      </c>
      <c r="B19" s="15">
        <v>102021</v>
      </c>
      <c r="C19" s="16">
        <v>0</v>
      </c>
      <c r="D19" s="16">
        <v>1</v>
      </c>
      <c r="E19" s="18" t="s">
        <v>108</v>
      </c>
      <c r="F19" s="16" t="s">
        <v>203</v>
      </c>
      <c r="G19" s="16" t="s">
        <v>204</v>
      </c>
      <c r="J19" s="19">
        <v>2599243</v>
      </c>
      <c r="L19" s="22">
        <v>44495</v>
      </c>
      <c r="M19" s="22">
        <v>44495</v>
      </c>
      <c r="N19" s="17">
        <v>1</v>
      </c>
      <c r="Y19" s="23">
        <v>2</v>
      </c>
      <c r="Z19" s="11" t="s">
        <v>152</v>
      </c>
      <c r="AB19" s="24">
        <v>265.48</v>
      </c>
      <c r="AC19" s="17" t="s">
        <v>206</v>
      </c>
      <c r="AF19" s="16" t="s">
        <v>207</v>
      </c>
      <c r="AG19" s="24">
        <v>265.48</v>
      </c>
      <c r="AH19" s="17">
        <v>1.65</v>
      </c>
      <c r="AI19" s="28">
        <f t="shared" si="0"/>
        <v>4.38</v>
      </c>
      <c r="AJ19" s="16" t="s">
        <v>207</v>
      </c>
      <c r="AK19" s="24">
        <v>265.48</v>
      </c>
      <c r="AL19" s="17">
        <v>7.6</v>
      </c>
      <c r="AM19" s="28">
        <f t="shared" si="1"/>
        <v>20.18</v>
      </c>
      <c r="AN19" s="21" t="s">
        <v>210</v>
      </c>
    </row>
    <row r="20" spans="1:40" x14ac:dyDescent="0.25">
      <c r="A20" s="18" t="s">
        <v>20</v>
      </c>
      <c r="B20" s="15">
        <v>102021</v>
      </c>
      <c r="C20" s="16">
        <v>0</v>
      </c>
      <c r="D20" s="16">
        <v>1</v>
      </c>
      <c r="E20" s="18" t="s">
        <v>108</v>
      </c>
      <c r="F20" s="16" t="s">
        <v>203</v>
      </c>
      <c r="G20" s="16" t="s">
        <v>204</v>
      </c>
      <c r="J20" s="19">
        <v>2599243</v>
      </c>
      <c r="L20" s="22">
        <v>44495</v>
      </c>
      <c r="M20" s="22">
        <v>44495</v>
      </c>
      <c r="N20" s="17">
        <v>1</v>
      </c>
      <c r="Y20" s="23">
        <v>3</v>
      </c>
      <c r="Z20" s="16" t="s">
        <v>153</v>
      </c>
      <c r="AB20" s="24">
        <v>265.48</v>
      </c>
      <c r="AC20" s="17" t="s">
        <v>206</v>
      </c>
      <c r="AF20" s="16" t="s">
        <v>207</v>
      </c>
      <c r="AG20" s="24">
        <v>265.48</v>
      </c>
      <c r="AH20" s="17">
        <v>1.65</v>
      </c>
      <c r="AI20" s="28">
        <f t="shared" si="0"/>
        <v>4.38</v>
      </c>
      <c r="AJ20" s="16" t="s">
        <v>207</v>
      </c>
      <c r="AK20" s="24">
        <v>265.48</v>
      </c>
      <c r="AL20" s="17">
        <v>7.6</v>
      </c>
      <c r="AM20" s="28">
        <f t="shared" si="1"/>
        <v>20.18</v>
      </c>
      <c r="AN20" s="21" t="s">
        <v>210</v>
      </c>
    </row>
    <row r="21" spans="1:40" x14ac:dyDescent="0.25">
      <c r="A21" s="18" t="s">
        <v>20</v>
      </c>
      <c r="B21" s="15">
        <v>102021</v>
      </c>
      <c r="C21" s="16">
        <v>0</v>
      </c>
      <c r="D21" s="16">
        <v>1</v>
      </c>
      <c r="E21" s="18" t="s">
        <v>108</v>
      </c>
      <c r="F21" s="16" t="s">
        <v>203</v>
      </c>
      <c r="G21" s="16" t="s">
        <v>204</v>
      </c>
      <c r="J21" s="19">
        <v>2599243</v>
      </c>
      <c r="L21" s="22">
        <v>44495</v>
      </c>
      <c r="M21" s="22">
        <v>44495</v>
      </c>
      <c r="N21" s="17">
        <v>1</v>
      </c>
      <c r="Y21" s="23">
        <v>4</v>
      </c>
      <c r="Z21" s="11" t="s">
        <v>154</v>
      </c>
      <c r="AB21" s="24">
        <v>265.48</v>
      </c>
      <c r="AC21" s="17" t="s">
        <v>206</v>
      </c>
      <c r="AF21" s="16" t="s">
        <v>207</v>
      </c>
      <c r="AG21" s="24">
        <v>265.48</v>
      </c>
      <c r="AH21" s="17">
        <v>1.65</v>
      </c>
      <c r="AI21" s="28">
        <f t="shared" si="0"/>
        <v>4.38</v>
      </c>
      <c r="AJ21" s="16" t="s">
        <v>207</v>
      </c>
      <c r="AK21" s="24">
        <v>265.48</v>
      </c>
      <c r="AL21" s="17">
        <v>7.6</v>
      </c>
      <c r="AM21" s="28">
        <f t="shared" si="1"/>
        <v>20.18</v>
      </c>
      <c r="AN21" s="21" t="s">
        <v>210</v>
      </c>
    </row>
    <row r="22" spans="1:40" x14ac:dyDescent="0.25">
      <c r="A22" s="18" t="s">
        <v>20</v>
      </c>
      <c r="B22" s="15">
        <v>102021</v>
      </c>
      <c r="C22" s="16">
        <v>0</v>
      </c>
      <c r="D22" s="16">
        <v>1</v>
      </c>
      <c r="E22" s="18" t="s">
        <v>108</v>
      </c>
      <c r="F22" s="16" t="s">
        <v>203</v>
      </c>
      <c r="G22" s="16" t="s">
        <v>204</v>
      </c>
      <c r="J22" s="19">
        <v>2599243</v>
      </c>
      <c r="L22" s="22">
        <v>44495</v>
      </c>
      <c r="M22" s="22">
        <v>44495</v>
      </c>
      <c r="N22" s="17">
        <v>1</v>
      </c>
      <c r="Y22" s="23">
        <v>5</v>
      </c>
      <c r="Z22" s="16" t="s">
        <v>155</v>
      </c>
      <c r="AB22" s="24">
        <v>266.02999999999997</v>
      </c>
      <c r="AC22" s="17" t="s">
        <v>206</v>
      </c>
      <c r="AF22" s="16" t="s">
        <v>207</v>
      </c>
      <c r="AG22" s="24">
        <v>266.02999999999997</v>
      </c>
      <c r="AH22" s="17">
        <v>1.65</v>
      </c>
      <c r="AI22" s="28">
        <f t="shared" si="0"/>
        <v>4.3899999999999997</v>
      </c>
      <c r="AJ22" s="16" t="s">
        <v>207</v>
      </c>
      <c r="AK22" s="24">
        <v>266.02999999999997</v>
      </c>
      <c r="AL22" s="17">
        <v>7.6</v>
      </c>
      <c r="AM22" s="28">
        <f t="shared" si="1"/>
        <v>20.22</v>
      </c>
      <c r="AN22" s="21" t="s">
        <v>210</v>
      </c>
    </row>
  </sheetData>
  <mergeCells count="5">
    <mergeCell ref="A2:B2"/>
    <mergeCell ref="Q2:X2"/>
    <mergeCell ref="A1:AO1"/>
    <mergeCell ref="C2:P2"/>
    <mergeCell ref="Y2:A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M4"/>
  <sheetViews>
    <sheetView showGridLines="0" topLeftCell="AR1" workbookViewId="0">
      <pane ySplit="3" topLeftCell="A4" activePane="bottomLeft" state="frozen"/>
      <selection pane="bottomLeft" activeCell="AF4" sqref="AF4:BM4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6.85546875" style="11" bestFit="1" customWidth="1"/>
    <col min="4" max="4" width="6.42578125" style="11" bestFit="1" customWidth="1"/>
    <col min="5" max="5" width="20.85546875" style="11" bestFit="1" customWidth="1"/>
    <col min="6" max="6" width="8" style="11" customWidth="1"/>
    <col min="7" max="7" width="7.5703125" style="11" bestFit="1" customWidth="1"/>
    <col min="8" max="8" width="4.7109375" style="11" bestFit="1" customWidth="1"/>
    <col min="9" max="9" width="10.85546875" style="11" bestFit="1" customWidth="1"/>
    <col min="10" max="10" width="9.7109375" style="11" bestFit="1" customWidth="1"/>
    <col min="11" max="12" width="11.5703125" style="11" bestFit="1" customWidth="1"/>
    <col min="13" max="13" width="8" style="11" customWidth="1"/>
    <col min="14" max="14" width="7.7109375" style="11" bestFit="1" customWidth="1"/>
    <col min="15" max="15" width="7.5703125" style="11" bestFit="1" customWidth="1"/>
    <col min="16" max="16" width="8" style="11" bestFit="1" customWidth="1"/>
    <col min="17" max="17" width="11.7109375" style="11" bestFit="1" customWidth="1"/>
    <col min="18" max="18" width="11.28515625" style="11" bestFit="1" customWidth="1"/>
    <col min="19" max="19" width="10" style="11" bestFit="1" customWidth="1"/>
    <col min="20" max="20" width="8.85546875" style="11" bestFit="1" customWidth="1"/>
    <col min="21" max="21" width="9.42578125" style="11" bestFit="1" customWidth="1"/>
    <col min="22" max="22" width="9.7109375" style="11" bestFit="1" customWidth="1"/>
    <col min="23" max="23" width="12.7109375" style="11" bestFit="1" customWidth="1"/>
    <col min="24" max="24" width="9.140625" style="11" bestFit="1" customWidth="1"/>
    <col min="25" max="25" width="13.7109375" style="11" bestFit="1" customWidth="1"/>
    <col min="26" max="26" width="11.28515625" style="11" bestFit="1" customWidth="1"/>
    <col min="27" max="28" width="8.85546875" style="11" bestFit="1" customWidth="1"/>
    <col min="29" max="29" width="11.5703125" style="11" bestFit="1" customWidth="1"/>
    <col min="30" max="30" width="10.42578125" style="11" bestFit="1" customWidth="1"/>
    <col min="31" max="31" width="11.5703125" style="11" bestFit="1" customWidth="1"/>
    <col min="32" max="32" width="8" style="11" customWidth="1"/>
    <col min="33" max="33" width="10.7109375" style="11" bestFit="1" customWidth="1"/>
    <col min="34" max="34" width="15.5703125" style="11" bestFit="1" customWidth="1"/>
    <col min="35" max="35" width="7.28515625" style="11" bestFit="1" customWidth="1"/>
    <col min="36" max="36" width="5.85546875" style="11" bestFit="1" customWidth="1"/>
    <col min="37" max="37" width="8.5703125" style="11" bestFit="1" customWidth="1"/>
    <col min="38" max="38" width="11.85546875" style="11" bestFit="1" customWidth="1"/>
    <col min="39" max="39" width="7" style="11" bestFit="1" customWidth="1"/>
    <col min="40" max="40" width="7.5703125" style="11" bestFit="1" customWidth="1"/>
    <col min="41" max="41" width="6.42578125" style="11" bestFit="1" customWidth="1"/>
    <col min="42" max="42" width="10" style="11" customWidth="1"/>
    <col min="43" max="43" width="13.7109375" style="11" bestFit="1" customWidth="1"/>
    <col min="44" max="44" width="6.85546875" style="11" bestFit="1" customWidth="1"/>
    <col min="45" max="45" width="11.5703125" style="11" bestFit="1" customWidth="1"/>
    <col min="46" max="46" width="13.7109375" style="11" bestFit="1" customWidth="1"/>
    <col min="47" max="47" width="7.5703125" style="11" bestFit="1" customWidth="1"/>
    <col min="48" max="48" width="11.28515625" style="11" bestFit="1" customWidth="1"/>
    <col min="49" max="49" width="8" style="11" customWidth="1"/>
    <col min="50" max="50" width="10.140625" style="11" bestFit="1" customWidth="1"/>
    <col min="51" max="51" width="6.85546875" style="11" bestFit="1" customWidth="1"/>
    <col min="52" max="52" width="11.85546875" style="11" bestFit="1" customWidth="1"/>
    <col min="53" max="53" width="7.42578125" style="11" bestFit="1" customWidth="1"/>
    <col min="54" max="54" width="13.42578125" style="11" bestFit="1" customWidth="1"/>
    <col min="55" max="55" width="9.42578125" style="11" bestFit="1" customWidth="1"/>
    <col min="56" max="56" width="11.28515625" style="11" bestFit="1" customWidth="1"/>
    <col min="57" max="57" width="11.5703125" style="11" bestFit="1" customWidth="1"/>
    <col min="58" max="58" width="10.85546875" style="11" bestFit="1" customWidth="1"/>
    <col min="59" max="59" width="7" style="11" bestFit="1" customWidth="1"/>
    <col min="60" max="60" width="14" style="11" customWidth="1"/>
    <col min="61" max="61" width="9.28515625" style="11" bestFit="1" customWidth="1"/>
    <col min="62" max="62" width="11.28515625" style="11" bestFit="1" customWidth="1"/>
    <col min="63" max="63" width="11" style="11" bestFit="1" customWidth="1"/>
    <col min="64" max="64" width="11.5703125" style="11" bestFit="1" customWidth="1"/>
    <col min="65" max="65" width="13.7109375" style="11" bestFit="1" customWidth="1"/>
    <col min="66" max="66" width="9.140625" style="11" customWidth="1"/>
    <col min="67" max="16384" width="9.140625" style="11"/>
  </cols>
  <sheetData>
    <row r="1" spans="1:65" x14ac:dyDescent="0.25">
      <c r="A1" s="42" t="s">
        <v>216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  <c r="AU1" s="43"/>
      <c r="AV1" s="43"/>
      <c r="AW1" s="43"/>
      <c r="AX1" s="43"/>
      <c r="AY1" s="43"/>
      <c r="AZ1" s="43"/>
      <c r="BA1" s="43"/>
      <c r="BB1" s="43"/>
      <c r="BC1" s="43"/>
      <c r="BD1" s="43"/>
      <c r="BE1" s="43"/>
      <c r="BF1" s="43"/>
      <c r="BG1" s="43"/>
      <c r="BH1" s="43"/>
      <c r="BI1" s="43"/>
      <c r="BJ1" s="43"/>
      <c r="BK1" s="43"/>
      <c r="BL1" s="43"/>
      <c r="BM1" s="43"/>
    </row>
    <row r="2" spans="1:65" x14ac:dyDescent="0.25">
      <c r="A2" s="42" t="s">
        <v>162</v>
      </c>
      <c r="B2" s="43"/>
      <c r="C2" s="52" t="s">
        <v>217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51" t="s">
        <v>218</v>
      </c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53" t="s">
        <v>219</v>
      </c>
      <c r="AG2" s="43"/>
      <c r="AH2" s="43"/>
      <c r="AI2" s="43"/>
      <c r="AJ2" s="43"/>
      <c r="AK2" s="43"/>
      <c r="AL2" s="43"/>
      <c r="AM2" s="43"/>
      <c r="AN2" s="43"/>
      <c r="AO2" s="43"/>
      <c r="AP2" s="43"/>
      <c r="AQ2" s="43"/>
      <c r="AR2" s="43"/>
      <c r="AS2" s="43"/>
      <c r="AT2" s="43"/>
      <c r="AU2" s="43"/>
      <c r="AV2" s="43"/>
      <c r="AW2" s="43"/>
      <c r="AX2" s="43"/>
      <c r="AY2" s="43"/>
      <c r="AZ2" s="43"/>
      <c r="BA2" s="43"/>
      <c r="BB2" s="43"/>
      <c r="BC2" s="43"/>
      <c r="BD2" s="43"/>
      <c r="BE2" s="43"/>
      <c r="BF2" s="43"/>
      <c r="BG2" s="43"/>
      <c r="BH2" s="43"/>
      <c r="BI2" s="43"/>
      <c r="BJ2" s="43"/>
      <c r="BK2" s="43"/>
      <c r="BL2" s="43"/>
      <c r="BM2" s="43"/>
    </row>
    <row r="3" spans="1:65" ht="31.5" customHeight="1" x14ac:dyDescent="0.25">
      <c r="A3" s="12" t="s">
        <v>1</v>
      </c>
      <c r="B3" s="12" t="s">
        <v>2</v>
      </c>
      <c r="C3" s="13" t="s">
        <v>166</v>
      </c>
      <c r="D3" s="13" t="s">
        <v>167</v>
      </c>
      <c r="E3" s="13" t="s">
        <v>168</v>
      </c>
      <c r="F3" s="13" t="s">
        <v>169</v>
      </c>
      <c r="G3" s="13" t="s">
        <v>170</v>
      </c>
      <c r="H3" s="13" t="s">
        <v>171</v>
      </c>
      <c r="I3" s="13" t="s">
        <v>173</v>
      </c>
      <c r="J3" s="13" t="s">
        <v>220</v>
      </c>
      <c r="K3" s="13" t="s">
        <v>175</v>
      </c>
      <c r="L3" s="13" t="s">
        <v>221</v>
      </c>
      <c r="M3" s="13" t="s">
        <v>177</v>
      </c>
      <c r="N3" s="13" t="s">
        <v>222</v>
      </c>
      <c r="O3" s="13" t="s">
        <v>223</v>
      </c>
      <c r="P3" s="13" t="s">
        <v>224</v>
      </c>
      <c r="Q3" s="13" t="s">
        <v>225</v>
      </c>
      <c r="R3" s="13" t="s">
        <v>226</v>
      </c>
      <c r="S3" s="13" t="s">
        <v>178</v>
      </c>
      <c r="T3" s="25" t="s">
        <v>179</v>
      </c>
      <c r="U3" s="25" t="s">
        <v>180</v>
      </c>
      <c r="V3" s="25" t="s">
        <v>227</v>
      </c>
      <c r="W3" s="25" t="s">
        <v>228</v>
      </c>
      <c r="X3" s="25" t="s">
        <v>229</v>
      </c>
      <c r="Y3" s="25" t="s">
        <v>230</v>
      </c>
      <c r="Z3" s="25" t="s">
        <v>231</v>
      </c>
      <c r="AA3" s="25" t="s">
        <v>232</v>
      </c>
      <c r="AB3" s="25" t="s">
        <v>183</v>
      </c>
      <c r="AC3" s="25" t="s">
        <v>186</v>
      </c>
      <c r="AD3" s="25" t="s">
        <v>233</v>
      </c>
      <c r="AE3" s="25" t="s">
        <v>234</v>
      </c>
      <c r="AF3" s="26" t="s">
        <v>187</v>
      </c>
      <c r="AG3" s="26" t="s">
        <v>119</v>
      </c>
      <c r="AH3" s="26" t="s">
        <v>188</v>
      </c>
      <c r="AI3" s="26" t="s">
        <v>235</v>
      </c>
      <c r="AJ3" s="26" t="s">
        <v>112</v>
      </c>
      <c r="AK3" s="26" t="s">
        <v>189</v>
      </c>
      <c r="AL3" s="26" t="s">
        <v>190</v>
      </c>
      <c r="AM3" s="26" t="s">
        <v>236</v>
      </c>
      <c r="AN3" s="26" t="s">
        <v>237</v>
      </c>
      <c r="AO3" s="26" t="s">
        <v>238</v>
      </c>
      <c r="AP3" s="26" t="s">
        <v>239</v>
      </c>
      <c r="AQ3" s="26" t="s">
        <v>240</v>
      </c>
      <c r="AR3" s="26" t="s">
        <v>128</v>
      </c>
      <c r="AS3" s="26" t="s">
        <v>241</v>
      </c>
      <c r="AT3" s="26" t="s">
        <v>242</v>
      </c>
      <c r="AU3" s="26" t="s">
        <v>243</v>
      </c>
      <c r="AV3" s="26" t="s">
        <v>244</v>
      </c>
      <c r="AW3" s="26" t="s">
        <v>245</v>
      </c>
      <c r="AX3" s="26" t="s">
        <v>246</v>
      </c>
      <c r="AY3" s="26" t="s">
        <v>247</v>
      </c>
      <c r="AZ3" s="26" t="s">
        <v>248</v>
      </c>
      <c r="BA3" s="26" t="s">
        <v>193</v>
      </c>
      <c r="BB3" s="26" t="s">
        <v>194</v>
      </c>
      <c r="BC3" s="26" t="s">
        <v>249</v>
      </c>
      <c r="BD3" s="26" t="s">
        <v>250</v>
      </c>
      <c r="BE3" s="26" t="s">
        <v>251</v>
      </c>
      <c r="BF3" s="26" t="s">
        <v>196</v>
      </c>
      <c r="BG3" s="26" t="s">
        <v>197</v>
      </c>
      <c r="BH3" s="26" t="s">
        <v>198</v>
      </c>
      <c r="BI3" s="26" t="s">
        <v>252</v>
      </c>
      <c r="BJ3" s="26" t="s">
        <v>253</v>
      </c>
      <c r="BK3" s="26" t="s">
        <v>254</v>
      </c>
      <c r="BL3" s="26" t="s">
        <v>200</v>
      </c>
      <c r="BM3" s="26" t="s">
        <v>201</v>
      </c>
    </row>
    <row r="4" spans="1:65" x14ac:dyDescent="0.25">
      <c r="A4" s="14"/>
      <c r="B4" s="15"/>
      <c r="C4" s="16"/>
      <c r="D4" s="16"/>
      <c r="E4" s="16"/>
      <c r="F4" s="16"/>
      <c r="G4" s="16"/>
      <c r="H4" s="17"/>
      <c r="I4" s="16"/>
      <c r="J4" s="17"/>
      <c r="K4" s="16"/>
      <c r="L4" s="17"/>
      <c r="M4" s="17"/>
      <c r="N4" s="17"/>
      <c r="O4" s="17"/>
      <c r="P4" s="17"/>
      <c r="Q4" s="17"/>
      <c r="R4" s="17"/>
      <c r="S4" s="17"/>
      <c r="T4" s="27" t="s">
        <v>205</v>
      </c>
      <c r="U4" s="27" t="s">
        <v>205</v>
      </c>
      <c r="V4" s="27" t="s">
        <v>205</v>
      </c>
      <c r="W4" s="27" t="s">
        <v>205</v>
      </c>
      <c r="X4" s="27" t="s">
        <v>205</v>
      </c>
      <c r="Y4" s="27" t="s">
        <v>205</v>
      </c>
      <c r="Z4" s="27" t="s">
        <v>205</v>
      </c>
      <c r="AA4" s="27" t="s">
        <v>205</v>
      </c>
      <c r="AB4" s="27" t="s">
        <v>205</v>
      </c>
      <c r="AC4" s="27" t="s">
        <v>205</v>
      </c>
      <c r="AD4" s="27" t="s">
        <v>205</v>
      </c>
      <c r="AE4" s="27" t="s">
        <v>205</v>
      </c>
      <c r="AF4" s="16"/>
      <c r="AG4" s="16"/>
      <c r="AH4" s="17"/>
      <c r="AI4" s="16"/>
      <c r="AJ4" s="16"/>
      <c r="AK4" s="16"/>
      <c r="AL4" s="17"/>
      <c r="AM4" s="16"/>
      <c r="AN4" s="17"/>
      <c r="AO4" s="16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6"/>
      <c r="BB4" s="17"/>
      <c r="BC4" s="17"/>
      <c r="BD4" s="17"/>
      <c r="BE4" s="17"/>
      <c r="BF4" s="17"/>
      <c r="BG4" s="16"/>
      <c r="BH4" s="17"/>
      <c r="BI4" s="17"/>
      <c r="BJ4" s="17"/>
      <c r="BK4" s="17"/>
      <c r="BL4" s="17"/>
      <c r="BM4" s="17"/>
    </row>
  </sheetData>
  <mergeCells count="5">
    <mergeCell ref="A1:BM1"/>
    <mergeCell ref="A2:B2"/>
    <mergeCell ref="T2:AE2"/>
    <mergeCell ref="AF2:BM2"/>
    <mergeCell ref="C2:S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T4"/>
  <sheetViews>
    <sheetView showGridLines="0" topLeftCell="Y1" workbookViewId="0">
      <pane ySplit="3" topLeftCell="A4" activePane="bottomLeft" state="frozen"/>
      <selection pane="bottomLeft" activeCell="A4" sqref="A4:AT4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6.85546875" style="11" bestFit="1" customWidth="1"/>
    <col min="4" max="4" width="6.42578125" style="11" bestFit="1" customWidth="1"/>
    <col min="5" max="5" width="16.5703125" style="11" bestFit="1" customWidth="1"/>
    <col min="6" max="6" width="8" style="11" customWidth="1"/>
    <col min="7" max="7" width="7.5703125" style="11" bestFit="1" customWidth="1"/>
    <col min="8" max="8" width="4.7109375" style="11" bestFit="1" customWidth="1"/>
    <col min="9" max="9" width="5" style="11" bestFit="1" customWidth="1"/>
    <col min="10" max="10" width="10.85546875" style="11" bestFit="1" customWidth="1"/>
    <col min="11" max="11" width="9.5703125" style="11" bestFit="1" customWidth="1"/>
    <col min="12" max="12" width="11.5703125" style="11" bestFit="1" customWidth="1"/>
    <col min="13" max="13" width="7.7109375" style="11" bestFit="1" customWidth="1"/>
    <col min="14" max="14" width="7.42578125" style="11" bestFit="1" customWidth="1"/>
    <col min="15" max="15" width="14.140625" style="11" bestFit="1" customWidth="1"/>
    <col min="16" max="16" width="8.5703125" style="11" bestFit="1" customWidth="1"/>
    <col min="17" max="17" width="9.42578125" style="11" bestFit="1" customWidth="1"/>
    <col min="18" max="18" width="7.7109375" style="11" bestFit="1" customWidth="1"/>
    <col min="19" max="19" width="9.140625" style="11" bestFit="1" customWidth="1"/>
    <col min="20" max="20" width="12.7109375" style="11" bestFit="1" customWidth="1"/>
    <col min="21" max="21" width="9.140625" style="11" bestFit="1" customWidth="1"/>
    <col min="22" max="22" width="6.5703125" style="11" bestFit="1" customWidth="1"/>
    <col min="23" max="23" width="10" style="11" bestFit="1" customWidth="1"/>
    <col min="24" max="24" width="9.42578125" style="11" bestFit="1" customWidth="1"/>
    <col min="25" max="25" width="9.85546875" style="11" bestFit="1" customWidth="1"/>
    <col min="26" max="26" width="12.5703125" style="11" bestFit="1" customWidth="1"/>
    <col min="27" max="27" width="7.42578125" style="11" bestFit="1" customWidth="1"/>
    <col min="28" max="28" width="9.140625" style="11" bestFit="1" customWidth="1"/>
    <col min="29" max="29" width="10.85546875" style="11" bestFit="1" customWidth="1"/>
    <col min="30" max="30" width="9.42578125" style="11" bestFit="1" customWidth="1"/>
    <col min="31" max="31" width="11.28515625" style="11" bestFit="1" customWidth="1"/>
    <col min="32" max="32" width="11.5703125" style="11" bestFit="1" customWidth="1"/>
    <col min="33" max="33" width="7.28515625" style="11" bestFit="1" customWidth="1"/>
    <col min="34" max="35" width="12.7109375" style="11" bestFit="1" customWidth="1"/>
    <col min="36" max="36" width="9.85546875" style="11" bestFit="1" customWidth="1"/>
    <col min="37" max="37" width="13.7109375" style="11" bestFit="1" customWidth="1"/>
    <col min="38" max="38" width="7" style="11" bestFit="1" customWidth="1"/>
    <col min="39" max="39" width="9.140625" style="11" bestFit="1" customWidth="1"/>
    <col min="40" max="40" width="14" style="11" customWidth="1"/>
    <col min="41" max="41" width="9.28515625" style="11" bestFit="1" customWidth="1"/>
    <col min="42" max="42" width="11.28515625" style="11" bestFit="1" customWidth="1"/>
    <col min="43" max="43" width="11" style="11" bestFit="1" customWidth="1"/>
    <col min="44" max="44" width="11.5703125" style="11" bestFit="1" customWidth="1"/>
    <col min="45" max="45" width="14" style="11" customWidth="1"/>
    <col min="46" max="46" width="12.7109375" style="11" bestFit="1" customWidth="1"/>
    <col min="47" max="47" width="9.140625" style="11" customWidth="1"/>
    <col min="48" max="16384" width="9.140625" style="11"/>
  </cols>
  <sheetData>
    <row r="1" spans="1:46" ht="30" customHeight="1" x14ac:dyDescent="0.25">
      <c r="A1" s="42" t="s">
        <v>255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  <c r="AM1" s="43"/>
      <c r="AN1" s="43"/>
      <c r="AO1" s="43"/>
      <c r="AP1" s="43"/>
      <c r="AQ1" s="43"/>
      <c r="AR1" s="43"/>
      <c r="AS1" s="43"/>
      <c r="AT1" s="43"/>
    </row>
    <row r="2" spans="1:46" ht="18" customHeight="1" x14ac:dyDescent="0.25">
      <c r="A2" s="42" t="s">
        <v>162</v>
      </c>
      <c r="B2" s="43"/>
      <c r="C2" s="52" t="s">
        <v>256</v>
      </c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53" t="s">
        <v>257</v>
      </c>
      <c r="Z2" s="43"/>
      <c r="AA2" s="43"/>
      <c r="AB2" s="43"/>
      <c r="AC2" s="43"/>
      <c r="AD2" s="43"/>
      <c r="AE2" s="43"/>
      <c r="AF2" s="43"/>
      <c r="AG2" s="43"/>
      <c r="AH2" s="43"/>
      <c r="AI2" s="43"/>
      <c r="AJ2" s="54" t="s">
        <v>258</v>
      </c>
      <c r="AK2" s="43"/>
      <c r="AL2" s="43"/>
      <c r="AM2" s="43"/>
      <c r="AN2" s="43"/>
      <c r="AO2" s="43"/>
      <c r="AP2" s="43"/>
      <c r="AQ2" s="43"/>
      <c r="AR2" s="43"/>
      <c r="AS2" s="43"/>
      <c r="AT2" s="43"/>
    </row>
    <row r="3" spans="1:46" ht="39.950000000000003" customHeight="1" x14ac:dyDescent="0.25">
      <c r="A3" s="12" t="s">
        <v>1</v>
      </c>
      <c r="B3" s="12" t="s">
        <v>2</v>
      </c>
      <c r="C3" s="13" t="s">
        <v>166</v>
      </c>
      <c r="D3" s="13" t="s">
        <v>167</v>
      </c>
      <c r="E3" s="13" t="s">
        <v>259</v>
      </c>
      <c r="F3" s="13" t="s">
        <v>169</v>
      </c>
      <c r="G3" s="13" t="s">
        <v>170</v>
      </c>
      <c r="H3" s="13" t="s">
        <v>171</v>
      </c>
      <c r="I3" s="13" t="s">
        <v>172</v>
      </c>
      <c r="J3" s="13" t="s">
        <v>173</v>
      </c>
      <c r="K3" s="13" t="s">
        <v>260</v>
      </c>
      <c r="L3" s="13" t="s">
        <v>175</v>
      </c>
      <c r="M3" s="13" t="s">
        <v>261</v>
      </c>
      <c r="N3" s="13" t="s">
        <v>262</v>
      </c>
      <c r="O3" s="13" t="s">
        <v>263</v>
      </c>
      <c r="P3" s="13" t="s">
        <v>179</v>
      </c>
      <c r="Q3" s="13" t="s">
        <v>180</v>
      </c>
      <c r="R3" s="13" t="s">
        <v>222</v>
      </c>
      <c r="S3" s="13" t="s">
        <v>264</v>
      </c>
      <c r="T3" s="13" t="s">
        <v>228</v>
      </c>
      <c r="U3" s="13" t="s">
        <v>229</v>
      </c>
      <c r="V3" s="13" t="s">
        <v>265</v>
      </c>
      <c r="W3" s="13" t="s">
        <v>178</v>
      </c>
      <c r="X3" s="13" t="s">
        <v>266</v>
      </c>
      <c r="Y3" s="26" t="s">
        <v>267</v>
      </c>
      <c r="Z3" s="26" t="s">
        <v>268</v>
      </c>
      <c r="AA3" s="26" t="s">
        <v>193</v>
      </c>
      <c r="AB3" s="26" t="s">
        <v>191</v>
      </c>
      <c r="AC3" s="26" t="s">
        <v>181</v>
      </c>
      <c r="AD3" s="26" t="s">
        <v>249</v>
      </c>
      <c r="AE3" s="26" t="s">
        <v>250</v>
      </c>
      <c r="AF3" s="26" t="s">
        <v>251</v>
      </c>
      <c r="AG3" s="26" t="s">
        <v>183</v>
      </c>
      <c r="AH3" s="26" t="s">
        <v>269</v>
      </c>
      <c r="AI3" s="26" t="s">
        <v>270</v>
      </c>
      <c r="AJ3" s="29" t="s">
        <v>267</v>
      </c>
      <c r="AK3" s="29" t="s">
        <v>271</v>
      </c>
      <c r="AL3" s="29" t="s">
        <v>197</v>
      </c>
      <c r="AM3" s="29" t="s">
        <v>191</v>
      </c>
      <c r="AN3" s="29" t="s">
        <v>184</v>
      </c>
      <c r="AO3" s="29" t="s">
        <v>252</v>
      </c>
      <c r="AP3" s="29" t="s">
        <v>272</v>
      </c>
      <c r="AQ3" s="29" t="s">
        <v>254</v>
      </c>
      <c r="AR3" s="29" t="s">
        <v>186</v>
      </c>
      <c r="AS3" s="29" t="s">
        <v>273</v>
      </c>
      <c r="AT3" s="29" t="s">
        <v>274</v>
      </c>
    </row>
    <row r="4" spans="1:46" x14ac:dyDescent="0.25">
      <c r="A4" s="14"/>
      <c r="B4" s="15"/>
      <c r="C4" s="16"/>
      <c r="D4" s="16"/>
      <c r="E4" s="16"/>
      <c r="F4" s="16"/>
      <c r="G4" s="16"/>
      <c r="H4" s="17"/>
      <c r="I4" s="17"/>
      <c r="J4" s="16"/>
      <c r="K4" s="17"/>
      <c r="L4" s="16"/>
      <c r="M4" s="17"/>
      <c r="N4" s="17"/>
      <c r="O4" s="17"/>
      <c r="P4" s="16"/>
      <c r="Q4" s="17"/>
      <c r="R4" s="16"/>
      <c r="S4" s="17"/>
      <c r="T4" s="17"/>
      <c r="U4" s="17"/>
      <c r="V4" s="17"/>
      <c r="W4" s="17"/>
      <c r="X4" s="17"/>
      <c r="Y4" s="16"/>
      <c r="Z4" s="16"/>
      <c r="AA4" s="16"/>
      <c r="AB4" s="17"/>
      <c r="AC4" s="17"/>
      <c r="AD4" s="17"/>
      <c r="AE4" s="17"/>
      <c r="AF4" s="17"/>
      <c r="AG4" s="17"/>
      <c r="AH4" s="17"/>
      <c r="AI4" s="17"/>
      <c r="AJ4" s="16"/>
      <c r="AK4" s="16"/>
      <c r="AL4" s="16"/>
      <c r="AM4" s="17"/>
      <c r="AN4" s="17"/>
      <c r="AO4" s="17"/>
      <c r="AP4" s="17"/>
      <c r="AQ4" s="17"/>
      <c r="AR4" s="17"/>
      <c r="AS4" s="17"/>
      <c r="AT4" s="17"/>
    </row>
  </sheetData>
  <mergeCells count="5">
    <mergeCell ref="C2:X2"/>
    <mergeCell ref="A2:B2"/>
    <mergeCell ref="Y2:AI2"/>
    <mergeCell ref="AJ2:AT2"/>
    <mergeCell ref="A1:AT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4"/>
  <sheetViews>
    <sheetView showGridLines="0" workbookViewId="0">
      <pane ySplit="3" topLeftCell="A4" activePane="bottomLeft" state="frozen"/>
      <selection pane="bottomLeft"/>
    </sheetView>
  </sheetViews>
  <sheetFormatPr defaultRowHeight="15" x14ac:dyDescent="0.25"/>
  <cols>
    <col min="1" max="1" width="18" customWidth="1"/>
    <col min="2" max="2" width="12" customWidth="1"/>
    <col min="3" max="3" width="14" customWidth="1"/>
    <col min="4" max="5" width="8" customWidth="1"/>
    <col min="6" max="6" width="12" customWidth="1"/>
    <col min="7" max="7" width="8" customWidth="1"/>
    <col min="8" max="8" width="16" customWidth="1"/>
    <col min="9" max="10" width="12" customWidth="1"/>
    <col min="11" max="11" width="14" customWidth="1"/>
    <col min="12" max="12" width="12" customWidth="1"/>
    <col min="13" max="13" width="14" customWidth="1"/>
    <col min="14" max="14" width="48" customWidth="1"/>
    <col min="15" max="16" width="12" customWidth="1"/>
    <col min="17" max="17" width="8" customWidth="1"/>
    <col min="18" max="18" width="14" customWidth="1"/>
    <col min="19" max="19" width="10" customWidth="1"/>
    <col min="20" max="20" width="14" customWidth="1"/>
    <col min="21" max="21" width="10" customWidth="1"/>
    <col min="22" max="22" width="12" customWidth="1"/>
    <col min="23" max="23" width="16" customWidth="1"/>
    <col min="24" max="24" width="8" customWidth="1"/>
    <col min="25" max="25" width="14" customWidth="1"/>
    <col min="26" max="26" width="10" customWidth="1"/>
    <col min="27" max="27" width="14" customWidth="1"/>
    <col min="28" max="28" width="10" customWidth="1"/>
    <col min="29" max="29" width="12" customWidth="1"/>
    <col min="30" max="30" width="16" customWidth="1"/>
  </cols>
  <sheetData>
    <row r="1" spans="1:30" ht="30" customHeight="1" x14ac:dyDescent="0.25">
      <c r="A1" s="60" t="s">
        <v>275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</row>
    <row r="2" spans="1:30" ht="18" customHeight="1" x14ac:dyDescent="0.25">
      <c r="A2" s="56" t="s">
        <v>162</v>
      </c>
      <c r="B2" s="49"/>
      <c r="C2" s="57" t="s">
        <v>276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55" t="s">
        <v>277</v>
      </c>
      <c r="P2" s="49"/>
      <c r="Q2" s="58" t="s">
        <v>278</v>
      </c>
      <c r="R2" s="49"/>
      <c r="S2" s="49"/>
      <c r="T2" s="49"/>
      <c r="U2" s="49"/>
      <c r="V2" s="49"/>
      <c r="W2" s="49"/>
      <c r="X2" s="59" t="s">
        <v>279</v>
      </c>
      <c r="Y2" s="49"/>
      <c r="Z2" s="49"/>
      <c r="AA2" s="49"/>
      <c r="AB2" s="49"/>
      <c r="AC2" s="49"/>
      <c r="AD2" s="49"/>
    </row>
    <row r="3" spans="1:30" ht="39.950000000000003" customHeight="1" x14ac:dyDescent="0.25">
      <c r="A3" s="32" t="s">
        <v>1</v>
      </c>
      <c r="B3" s="32" t="s">
        <v>2</v>
      </c>
      <c r="C3" s="33" t="s">
        <v>76</v>
      </c>
      <c r="D3" s="33" t="s">
        <v>169</v>
      </c>
      <c r="E3" s="33" t="s">
        <v>170</v>
      </c>
      <c r="F3" s="33" t="s">
        <v>280</v>
      </c>
      <c r="G3" s="33" t="s">
        <v>167</v>
      </c>
      <c r="H3" s="33" t="s">
        <v>173</v>
      </c>
      <c r="I3" s="33" t="s">
        <v>175</v>
      </c>
      <c r="J3" s="33" t="s">
        <v>281</v>
      </c>
      <c r="K3" s="33" t="s">
        <v>179</v>
      </c>
      <c r="L3" s="33" t="s">
        <v>180</v>
      </c>
      <c r="M3" s="33" t="s">
        <v>227</v>
      </c>
      <c r="N3" s="33" t="s">
        <v>282</v>
      </c>
      <c r="O3" s="34" t="s">
        <v>183</v>
      </c>
      <c r="P3" s="34" t="s">
        <v>186</v>
      </c>
      <c r="Q3" s="35" t="s">
        <v>193</v>
      </c>
      <c r="R3" s="35" t="s">
        <v>181</v>
      </c>
      <c r="S3" s="35" t="s">
        <v>191</v>
      </c>
      <c r="T3" s="35" t="s">
        <v>283</v>
      </c>
      <c r="U3" s="35" t="s">
        <v>182</v>
      </c>
      <c r="V3" s="35" t="s">
        <v>284</v>
      </c>
      <c r="W3" s="35" t="s">
        <v>285</v>
      </c>
      <c r="X3" s="36" t="s">
        <v>197</v>
      </c>
      <c r="Y3" s="36" t="s">
        <v>184</v>
      </c>
      <c r="Z3" s="36" t="s">
        <v>191</v>
      </c>
      <c r="AA3" s="36" t="s">
        <v>286</v>
      </c>
      <c r="AB3" s="36" t="s">
        <v>185</v>
      </c>
      <c r="AC3" s="36" t="s">
        <v>287</v>
      </c>
      <c r="AD3" s="36" t="s">
        <v>288</v>
      </c>
    </row>
    <row r="4" spans="1:30" x14ac:dyDescent="0.25">
      <c r="A4" s="37" t="s">
        <v>114</v>
      </c>
      <c r="B4" s="38" t="s">
        <v>289</v>
      </c>
      <c r="C4" s="39" t="s">
        <v>290</v>
      </c>
      <c r="D4" s="39" t="s">
        <v>291</v>
      </c>
      <c r="E4" s="39" t="s">
        <v>204</v>
      </c>
      <c r="F4" s="40"/>
      <c r="G4" s="39" t="s">
        <v>292</v>
      </c>
      <c r="H4" s="39" t="s">
        <v>293</v>
      </c>
      <c r="I4" s="39" t="s">
        <v>294</v>
      </c>
      <c r="J4" s="40" t="s">
        <v>295</v>
      </c>
      <c r="K4" s="39" t="s">
        <v>296</v>
      </c>
      <c r="L4" s="40" t="s">
        <v>206</v>
      </c>
      <c r="M4" s="40"/>
      <c r="N4" s="40"/>
      <c r="O4" s="41" t="s">
        <v>205</v>
      </c>
      <c r="P4" s="41" t="s">
        <v>205</v>
      </c>
      <c r="Q4" s="39" t="s">
        <v>207</v>
      </c>
      <c r="R4" s="40" t="s">
        <v>296</v>
      </c>
      <c r="S4" s="40" t="s">
        <v>297</v>
      </c>
      <c r="T4" s="40" t="s">
        <v>296</v>
      </c>
      <c r="U4" s="40" t="s">
        <v>298</v>
      </c>
      <c r="V4" s="40" t="s">
        <v>299</v>
      </c>
      <c r="W4" s="40" t="s">
        <v>300</v>
      </c>
      <c r="X4" s="39" t="s">
        <v>207</v>
      </c>
      <c r="Y4" s="40" t="s">
        <v>296</v>
      </c>
      <c r="Z4" s="40" t="s">
        <v>297</v>
      </c>
      <c r="AA4" s="40" t="s">
        <v>296</v>
      </c>
      <c r="AB4" s="40" t="s">
        <v>301</v>
      </c>
      <c r="AC4" s="40" t="s">
        <v>302</v>
      </c>
      <c r="AD4" s="40" t="s">
        <v>300</v>
      </c>
    </row>
  </sheetData>
  <mergeCells count="6">
    <mergeCell ref="A1:AD1"/>
    <mergeCell ref="O2:P2"/>
    <mergeCell ref="A2:B2"/>
    <mergeCell ref="C2:N2"/>
    <mergeCell ref="Q2:W2"/>
    <mergeCell ref="X2:A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3"/>
  <sheetViews>
    <sheetView showGridLines="0" topLeftCell="C1" workbookViewId="0">
      <pane ySplit="2" topLeftCell="A3" activePane="bottomLeft" state="frozen"/>
      <selection pane="bottomLeft" activeCell="A3" sqref="A3:Z3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6.85546875" style="11" bestFit="1" customWidth="1"/>
    <col min="4" max="4" width="11.140625" style="11" bestFit="1" customWidth="1"/>
    <col min="5" max="5" width="11.5703125" style="11" bestFit="1" customWidth="1"/>
    <col min="6" max="6" width="9.42578125" style="11" bestFit="1" customWidth="1"/>
    <col min="7" max="7" width="10.7109375" style="11" bestFit="1" customWidth="1"/>
    <col min="8" max="8" width="30.140625" style="11" bestFit="1" customWidth="1"/>
    <col min="9" max="9" width="10" style="11" bestFit="1" customWidth="1"/>
    <col min="10" max="10" width="7.42578125" style="11" bestFit="1" customWidth="1"/>
    <col min="11" max="11" width="10.85546875" style="11" bestFit="1" customWidth="1"/>
    <col min="12" max="12" width="9.42578125" style="11" bestFit="1" customWidth="1"/>
    <col min="13" max="13" width="11.28515625" style="11" bestFit="1" customWidth="1"/>
    <col min="14" max="14" width="11.5703125" style="11" bestFit="1" customWidth="1"/>
    <col min="15" max="15" width="7.28515625" style="11" bestFit="1" customWidth="1"/>
    <col min="16" max="16" width="7" style="11" bestFit="1" customWidth="1"/>
    <col min="17" max="17" width="14" style="11" customWidth="1"/>
    <col min="18" max="18" width="9.28515625" style="11" bestFit="1" customWidth="1"/>
    <col min="19" max="19" width="11.28515625" style="11" bestFit="1" customWidth="1"/>
    <col min="20" max="20" width="11" style="11" bestFit="1" customWidth="1"/>
    <col min="21" max="21" width="11.5703125" style="11" bestFit="1" customWidth="1"/>
    <col min="22" max="22" width="9.140625" style="11" bestFit="1" customWidth="1"/>
    <col min="23" max="23" width="8.7109375" style="11" bestFit="1" customWidth="1"/>
    <col min="24" max="24" width="11.85546875" style="11" bestFit="1" customWidth="1"/>
    <col min="25" max="25" width="8" style="11" customWidth="1"/>
    <col min="26" max="26" width="8.85546875" style="11" bestFit="1" customWidth="1"/>
    <col min="27" max="27" width="9.140625" style="11" customWidth="1"/>
    <col min="28" max="16384" width="9.140625" style="11"/>
  </cols>
  <sheetData>
    <row r="1" spans="1:26" ht="30" customHeight="1" x14ac:dyDescent="0.25">
      <c r="A1" s="42" t="s">
        <v>314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</row>
    <row r="2" spans="1:26" ht="36" customHeight="1" x14ac:dyDescent="0.25">
      <c r="A2" s="12" t="s">
        <v>1</v>
      </c>
      <c r="B2" s="12" t="s">
        <v>2</v>
      </c>
      <c r="C2" s="13" t="s">
        <v>166</v>
      </c>
      <c r="D2" s="13" t="s">
        <v>76</v>
      </c>
      <c r="E2" s="13" t="s">
        <v>315</v>
      </c>
      <c r="F2" s="13" t="s">
        <v>316</v>
      </c>
      <c r="G2" s="13" t="s">
        <v>119</v>
      </c>
      <c r="H2" s="13" t="s">
        <v>317</v>
      </c>
      <c r="I2" s="13" t="s">
        <v>178</v>
      </c>
      <c r="J2" s="13" t="s">
        <v>193</v>
      </c>
      <c r="K2" s="13" t="s">
        <v>181</v>
      </c>
      <c r="L2" s="13" t="s">
        <v>249</v>
      </c>
      <c r="M2" s="13" t="s">
        <v>250</v>
      </c>
      <c r="N2" s="13" t="s">
        <v>251</v>
      </c>
      <c r="O2" s="13" t="s">
        <v>183</v>
      </c>
      <c r="P2" s="13" t="s">
        <v>197</v>
      </c>
      <c r="Q2" s="13" t="s">
        <v>184</v>
      </c>
      <c r="R2" s="13" t="s">
        <v>252</v>
      </c>
      <c r="S2" s="13" t="s">
        <v>272</v>
      </c>
      <c r="T2" s="13" t="s">
        <v>254</v>
      </c>
      <c r="U2" s="13" t="s">
        <v>186</v>
      </c>
      <c r="V2" s="13" t="s">
        <v>191</v>
      </c>
      <c r="W2" s="13" t="s">
        <v>192</v>
      </c>
      <c r="X2" s="13" t="s">
        <v>202</v>
      </c>
      <c r="Y2" s="13" t="s">
        <v>169</v>
      </c>
      <c r="Z2" s="13" t="s">
        <v>318</v>
      </c>
    </row>
    <row r="3" spans="1:26" x14ac:dyDescent="0.25">
      <c r="A3" s="14"/>
      <c r="B3" s="15"/>
      <c r="C3" s="16"/>
      <c r="D3" s="17"/>
      <c r="E3" s="16"/>
      <c r="F3" s="16"/>
      <c r="G3" s="17"/>
      <c r="H3" s="17"/>
      <c r="I3" s="17"/>
      <c r="J3" s="16"/>
      <c r="K3" s="17"/>
      <c r="L3" s="17"/>
      <c r="M3" s="17"/>
      <c r="N3" s="17"/>
      <c r="O3" s="17"/>
      <c r="P3" s="16"/>
      <c r="Q3" s="17"/>
      <c r="R3" s="17"/>
      <c r="S3" s="17"/>
      <c r="T3" s="17"/>
      <c r="U3" s="17"/>
      <c r="V3" s="17"/>
      <c r="W3" s="17"/>
      <c r="X3" s="17"/>
      <c r="Y3" s="17"/>
      <c r="Z3" s="17"/>
    </row>
  </sheetData>
  <mergeCells count="1">
    <mergeCell ref="A1:Z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3"/>
  <sheetViews>
    <sheetView showGridLines="0" topLeftCell="G1" workbookViewId="0">
      <pane ySplit="2" topLeftCell="A3" activePane="bottomLeft" state="frozen"/>
      <selection pane="bottomLeft" activeCell="A3" sqref="A3:X3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11.85546875" style="11" bestFit="1" customWidth="1"/>
    <col min="4" max="4" width="17.85546875" style="11" bestFit="1" customWidth="1"/>
    <col min="5" max="5" width="8.7109375" style="11" bestFit="1" customWidth="1"/>
    <col min="6" max="6" width="12.5703125" style="11" bestFit="1" customWidth="1"/>
    <col min="7" max="7" width="12.85546875" style="11" bestFit="1" customWidth="1"/>
    <col min="8" max="8" width="13.7109375" style="11" bestFit="1" customWidth="1"/>
    <col min="9" max="9" width="7.42578125" style="11" bestFit="1" customWidth="1"/>
    <col min="10" max="10" width="10.85546875" style="11" bestFit="1" customWidth="1"/>
    <col min="11" max="11" width="9.42578125" style="11" bestFit="1" customWidth="1"/>
    <col min="12" max="12" width="11.28515625" style="11" bestFit="1" customWidth="1"/>
    <col min="13" max="13" width="11.5703125" style="11" bestFit="1" customWidth="1"/>
    <col min="14" max="14" width="7.28515625" style="11" bestFit="1" customWidth="1"/>
    <col min="15" max="15" width="7" style="11" bestFit="1" customWidth="1"/>
    <col min="16" max="16" width="14" style="11" customWidth="1"/>
    <col min="17" max="17" width="9.28515625" style="11" bestFit="1" customWidth="1"/>
    <col min="18" max="18" width="11.28515625" style="11" bestFit="1" customWidth="1"/>
    <col min="19" max="19" width="11" style="11" bestFit="1" customWidth="1"/>
    <col min="20" max="20" width="11.5703125" style="11" bestFit="1" customWidth="1"/>
    <col min="21" max="21" width="10" style="11" bestFit="1" customWidth="1"/>
    <col min="22" max="22" width="11.85546875" style="11" bestFit="1" customWidth="1"/>
    <col min="23" max="23" width="18.42578125" style="11" bestFit="1" customWidth="1"/>
    <col min="24" max="24" width="8" style="11" customWidth="1"/>
    <col min="25" max="25" width="9.140625" style="11" customWidth="1"/>
    <col min="26" max="16384" width="9.140625" style="11"/>
  </cols>
  <sheetData>
    <row r="1" spans="1:24" ht="30" customHeight="1" x14ac:dyDescent="0.25">
      <c r="A1" s="42" t="s">
        <v>319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</row>
    <row r="2" spans="1:24" ht="36" customHeight="1" x14ac:dyDescent="0.25">
      <c r="A2" s="12" t="s">
        <v>1</v>
      </c>
      <c r="B2" s="12" t="s">
        <v>2</v>
      </c>
      <c r="C2" s="13" t="s">
        <v>191</v>
      </c>
      <c r="D2" s="13" t="s">
        <v>320</v>
      </c>
      <c r="E2" s="13" t="s">
        <v>192</v>
      </c>
      <c r="F2" s="13" t="s">
        <v>321</v>
      </c>
      <c r="G2" s="13" t="s">
        <v>322</v>
      </c>
      <c r="H2" s="13" t="s">
        <v>323</v>
      </c>
      <c r="I2" s="13" t="s">
        <v>193</v>
      </c>
      <c r="J2" s="13" t="s">
        <v>181</v>
      </c>
      <c r="K2" s="13" t="s">
        <v>249</v>
      </c>
      <c r="L2" s="13" t="s">
        <v>250</v>
      </c>
      <c r="M2" s="13" t="s">
        <v>251</v>
      </c>
      <c r="N2" s="13" t="s">
        <v>183</v>
      </c>
      <c r="O2" s="13" t="s">
        <v>197</v>
      </c>
      <c r="P2" s="13" t="s">
        <v>184</v>
      </c>
      <c r="Q2" s="13" t="s">
        <v>252</v>
      </c>
      <c r="R2" s="13" t="s">
        <v>272</v>
      </c>
      <c r="S2" s="13" t="s">
        <v>254</v>
      </c>
      <c r="T2" s="13" t="s">
        <v>186</v>
      </c>
      <c r="U2" s="13" t="s">
        <v>178</v>
      </c>
      <c r="V2" s="13" t="s">
        <v>202</v>
      </c>
      <c r="W2" s="13" t="s">
        <v>317</v>
      </c>
      <c r="X2" s="13" t="s">
        <v>169</v>
      </c>
    </row>
    <row r="3" spans="1:24" x14ac:dyDescent="0.25">
      <c r="A3" s="14"/>
      <c r="B3" s="15"/>
      <c r="C3" s="16"/>
      <c r="D3" s="16"/>
      <c r="E3" s="16"/>
      <c r="F3" s="16"/>
      <c r="G3" s="16"/>
      <c r="H3" s="17"/>
      <c r="I3" s="16"/>
      <c r="J3" s="17"/>
      <c r="K3" s="17"/>
      <c r="L3" s="17"/>
      <c r="M3" s="17"/>
      <c r="N3" s="17"/>
      <c r="O3" s="16"/>
      <c r="P3" s="17"/>
      <c r="Q3" s="17"/>
      <c r="R3" s="17"/>
      <c r="S3" s="17"/>
      <c r="T3" s="17"/>
      <c r="U3" s="17"/>
      <c r="V3" s="17"/>
      <c r="W3" s="17"/>
      <c r="X3" s="17"/>
    </row>
  </sheetData>
  <mergeCells count="1">
    <mergeCell ref="A1:X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A3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.75" x14ac:dyDescent="0.25"/>
  <cols>
    <col min="1" max="1" width="17.28515625" style="11" bestFit="1" customWidth="1"/>
    <col min="2" max="2" width="11" style="11" bestFit="1" customWidth="1"/>
    <col min="3" max="3" width="11.85546875" style="11" bestFit="1" customWidth="1"/>
    <col min="4" max="4" width="17.85546875" style="11" bestFit="1" customWidth="1"/>
    <col min="5" max="5" width="8.7109375" style="11" bestFit="1" customWidth="1"/>
    <col min="6" max="6" width="12.5703125" style="11" bestFit="1" customWidth="1"/>
    <col min="7" max="7" width="10" style="11" customWidth="1"/>
    <col min="8" max="8" width="13.28515625" style="11" bestFit="1" customWidth="1"/>
    <col min="9" max="9" width="13.7109375" style="11" bestFit="1" customWidth="1"/>
    <col min="10" max="10" width="13.140625" style="11" bestFit="1" customWidth="1"/>
    <col min="11" max="11" width="8" style="11" customWidth="1"/>
    <col min="12" max="12" width="7.42578125" style="11" bestFit="1" customWidth="1"/>
    <col min="13" max="13" width="10.85546875" style="11" bestFit="1" customWidth="1"/>
    <col min="14" max="14" width="9.42578125" style="11" bestFit="1" customWidth="1"/>
    <col min="15" max="15" width="11.28515625" style="11" bestFit="1" customWidth="1"/>
    <col min="16" max="16" width="11.5703125" style="11" bestFit="1" customWidth="1"/>
    <col min="17" max="17" width="7.28515625" style="11" bestFit="1" customWidth="1"/>
    <col min="18" max="18" width="7" style="11" bestFit="1" customWidth="1"/>
    <col min="19" max="19" width="14" style="11" customWidth="1"/>
    <col min="20" max="20" width="9.28515625" style="11" bestFit="1" customWidth="1"/>
    <col min="21" max="21" width="11.28515625" style="11" bestFit="1" customWidth="1"/>
    <col min="22" max="22" width="11" style="11" bestFit="1" customWidth="1"/>
    <col min="23" max="23" width="11.5703125" style="11" bestFit="1" customWidth="1"/>
    <col min="24" max="24" width="10" style="11" bestFit="1" customWidth="1"/>
    <col min="25" max="25" width="11.85546875" style="11" bestFit="1" customWidth="1"/>
    <col min="26" max="26" width="19" style="11" bestFit="1" customWidth="1"/>
    <col min="27" max="27" width="8" style="11" customWidth="1"/>
    <col min="28" max="28" width="9.140625" style="11" customWidth="1"/>
    <col min="29" max="16384" width="9.140625" style="11"/>
  </cols>
  <sheetData>
    <row r="1" spans="1:27" ht="30" customHeight="1" x14ac:dyDescent="0.25">
      <c r="A1" s="42" t="s">
        <v>324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</row>
    <row r="2" spans="1:27" ht="36" customHeight="1" x14ac:dyDescent="0.25">
      <c r="A2" s="12" t="s">
        <v>1</v>
      </c>
      <c r="B2" s="12" t="s">
        <v>2</v>
      </c>
      <c r="C2" s="13" t="s">
        <v>191</v>
      </c>
      <c r="D2" s="13" t="s">
        <v>320</v>
      </c>
      <c r="E2" s="13" t="s">
        <v>192</v>
      </c>
      <c r="F2" s="13" t="s">
        <v>321</v>
      </c>
      <c r="G2" s="13" t="s">
        <v>325</v>
      </c>
      <c r="H2" s="13" t="s">
        <v>326</v>
      </c>
      <c r="I2" s="13" t="s">
        <v>323</v>
      </c>
      <c r="J2" s="13" t="s">
        <v>327</v>
      </c>
      <c r="K2" s="13" t="s">
        <v>328</v>
      </c>
      <c r="L2" s="13" t="s">
        <v>193</v>
      </c>
      <c r="M2" s="13" t="s">
        <v>181</v>
      </c>
      <c r="N2" s="13" t="s">
        <v>249</v>
      </c>
      <c r="O2" s="13" t="s">
        <v>250</v>
      </c>
      <c r="P2" s="13" t="s">
        <v>251</v>
      </c>
      <c r="Q2" s="13" t="s">
        <v>183</v>
      </c>
      <c r="R2" s="13" t="s">
        <v>197</v>
      </c>
      <c r="S2" s="13" t="s">
        <v>184</v>
      </c>
      <c r="T2" s="13" t="s">
        <v>252</v>
      </c>
      <c r="U2" s="13" t="s">
        <v>272</v>
      </c>
      <c r="V2" s="13" t="s">
        <v>254</v>
      </c>
      <c r="W2" s="13" t="s">
        <v>186</v>
      </c>
      <c r="X2" s="13" t="s">
        <v>178</v>
      </c>
      <c r="Y2" s="13" t="s">
        <v>202</v>
      </c>
      <c r="Z2" s="13" t="s">
        <v>317</v>
      </c>
      <c r="AA2" s="13" t="s">
        <v>169</v>
      </c>
    </row>
    <row r="3" spans="1:27" x14ac:dyDescent="0.25">
      <c r="A3" s="14"/>
      <c r="B3" s="15"/>
      <c r="C3" s="16"/>
      <c r="D3" s="16"/>
      <c r="E3" s="16"/>
      <c r="F3" s="16"/>
      <c r="G3" s="16"/>
      <c r="H3" s="16"/>
      <c r="I3" s="17"/>
      <c r="J3" s="17"/>
      <c r="K3" s="16"/>
      <c r="L3" s="16"/>
      <c r="M3" s="17"/>
      <c r="N3" s="17"/>
      <c r="O3" s="17"/>
      <c r="P3" s="17"/>
      <c r="Q3" s="17"/>
      <c r="R3" s="16"/>
      <c r="S3" s="17"/>
      <c r="T3" s="17"/>
      <c r="U3" s="17"/>
      <c r="V3" s="17"/>
      <c r="W3" s="17"/>
      <c r="X3" s="17"/>
      <c r="Y3" s="17"/>
      <c r="Z3" s="17"/>
      <c r="AA3" s="17"/>
    </row>
  </sheetData>
  <mergeCells count="1">
    <mergeCell ref="A1:AA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T19"/>
  <sheetViews>
    <sheetView showGridLines="0" workbookViewId="0"/>
  </sheetViews>
  <sheetFormatPr defaultRowHeight="15" x14ac:dyDescent="0.25"/>
  <cols>
    <col min="1" max="1" width="8" customWidth="1"/>
    <col min="2" max="2" width="36" customWidth="1"/>
    <col min="4" max="4" width="8" customWidth="1"/>
    <col min="5" max="5" width="36" customWidth="1"/>
    <col min="7" max="7" width="8" customWidth="1"/>
    <col min="8" max="8" width="36" customWidth="1"/>
    <col min="10" max="10" width="8" customWidth="1"/>
    <col min="11" max="11" width="36" customWidth="1"/>
    <col min="13" max="13" width="8" customWidth="1"/>
    <col min="14" max="14" width="36" customWidth="1"/>
    <col min="16" max="16" width="8" customWidth="1"/>
    <col min="17" max="17" width="36" customWidth="1"/>
    <col min="19" max="19" width="8" customWidth="1"/>
    <col min="20" max="20" width="36" customWidth="1"/>
  </cols>
  <sheetData>
    <row r="1" spans="1:20" ht="22.5" customHeight="1" x14ac:dyDescent="0.25">
      <c r="A1" s="9" t="s">
        <v>329</v>
      </c>
      <c r="B1" s="9" t="s">
        <v>330</v>
      </c>
      <c r="D1" s="9" t="s">
        <v>169</v>
      </c>
      <c r="E1" s="9" t="s">
        <v>330</v>
      </c>
      <c r="G1" s="9" t="s">
        <v>166</v>
      </c>
      <c r="H1" s="9" t="s">
        <v>330</v>
      </c>
      <c r="J1" s="9" t="s">
        <v>167</v>
      </c>
      <c r="K1" s="9" t="s">
        <v>330</v>
      </c>
      <c r="M1" s="9" t="s">
        <v>236</v>
      </c>
      <c r="N1" s="9" t="s">
        <v>330</v>
      </c>
      <c r="P1" s="9" t="s">
        <v>123</v>
      </c>
      <c r="Q1" s="9" t="s">
        <v>330</v>
      </c>
      <c r="S1" s="9" t="s">
        <v>222</v>
      </c>
      <c r="T1" s="9" t="s">
        <v>330</v>
      </c>
    </row>
    <row r="2" spans="1:20" x14ac:dyDescent="0.25">
      <c r="A2" s="10" t="s">
        <v>291</v>
      </c>
      <c r="B2" s="10" t="s">
        <v>331</v>
      </c>
      <c r="D2" s="10" t="s">
        <v>291</v>
      </c>
      <c r="E2" s="10" t="s">
        <v>332</v>
      </c>
      <c r="G2" s="10" t="s">
        <v>292</v>
      </c>
      <c r="H2" s="10" t="s">
        <v>333</v>
      </c>
      <c r="J2" s="10" t="s">
        <v>292</v>
      </c>
      <c r="K2" s="10" t="s">
        <v>334</v>
      </c>
      <c r="M2" s="10" t="s">
        <v>292</v>
      </c>
      <c r="N2" s="10" t="s">
        <v>335</v>
      </c>
      <c r="P2" s="10" t="s">
        <v>204</v>
      </c>
      <c r="Q2" s="10" t="s">
        <v>336</v>
      </c>
      <c r="S2" s="10" t="s">
        <v>292</v>
      </c>
      <c r="T2" s="10" t="s">
        <v>337</v>
      </c>
    </row>
    <row r="3" spans="1:20" x14ac:dyDescent="0.25">
      <c r="A3" s="10" t="s">
        <v>338</v>
      </c>
      <c r="B3" s="10" t="s">
        <v>339</v>
      </c>
      <c r="D3" s="10" t="s">
        <v>338</v>
      </c>
      <c r="E3" s="10" t="s">
        <v>340</v>
      </c>
      <c r="G3" s="10" t="s">
        <v>341</v>
      </c>
      <c r="H3" s="10" t="s">
        <v>342</v>
      </c>
      <c r="J3" s="10" t="s">
        <v>341</v>
      </c>
      <c r="K3" s="10" t="s">
        <v>343</v>
      </c>
      <c r="M3" s="10" t="s">
        <v>341</v>
      </c>
      <c r="N3" s="10" t="s">
        <v>344</v>
      </c>
      <c r="P3" s="10" t="s">
        <v>291</v>
      </c>
      <c r="Q3" s="10" t="s">
        <v>345</v>
      </c>
      <c r="S3" s="10" t="s">
        <v>341</v>
      </c>
      <c r="T3" s="10" t="s">
        <v>346</v>
      </c>
    </row>
    <row r="4" spans="1:20" x14ac:dyDescent="0.25">
      <c r="A4" s="10" t="s">
        <v>347</v>
      </c>
      <c r="B4" s="10" t="s">
        <v>348</v>
      </c>
      <c r="D4" s="10" t="s">
        <v>297</v>
      </c>
      <c r="E4" s="10" t="s">
        <v>349</v>
      </c>
      <c r="P4" s="10" t="s">
        <v>338</v>
      </c>
      <c r="Q4" s="10" t="s">
        <v>350</v>
      </c>
      <c r="S4" s="10" t="s">
        <v>351</v>
      </c>
      <c r="T4" s="10" t="s">
        <v>352</v>
      </c>
    </row>
    <row r="5" spans="1:20" x14ac:dyDescent="0.25">
      <c r="A5" s="10" t="s">
        <v>297</v>
      </c>
      <c r="B5" s="10" t="s">
        <v>353</v>
      </c>
      <c r="D5" s="10" t="s">
        <v>203</v>
      </c>
      <c r="E5" s="10" t="s">
        <v>354</v>
      </c>
      <c r="P5" s="10" t="s">
        <v>347</v>
      </c>
      <c r="Q5" s="10" t="s">
        <v>355</v>
      </c>
      <c r="S5" s="10" t="s">
        <v>356</v>
      </c>
      <c r="T5" s="10" t="s">
        <v>357</v>
      </c>
    </row>
    <row r="6" spans="1:20" x14ac:dyDescent="0.25">
      <c r="A6" s="10" t="s">
        <v>358</v>
      </c>
      <c r="B6" s="10" t="s">
        <v>359</v>
      </c>
      <c r="D6" s="10" t="s">
        <v>360</v>
      </c>
      <c r="E6" s="10" t="s">
        <v>361</v>
      </c>
      <c r="P6" s="10" t="s">
        <v>297</v>
      </c>
      <c r="Q6" s="10" t="s">
        <v>362</v>
      </c>
    </row>
    <row r="7" spans="1:20" x14ac:dyDescent="0.25">
      <c r="A7" s="10" t="s">
        <v>363</v>
      </c>
      <c r="B7" s="10" t="s">
        <v>364</v>
      </c>
      <c r="D7" s="10" t="s">
        <v>365</v>
      </c>
      <c r="E7" s="10" t="s">
        <v>366</v>
      </c>
      <c r="P7" s="10" t="s">
        <v>358</v>
      </c>
      <c r="Q7" s="10" t="s">
        <v>367</v>
      </c>
    </row>
    <row r="8" spans="1:20" x14ac:dyDescent="0.25">
      <c r="A8" s="10" t="s">
        <v>368</v>
      </c>
      <c r="B8" s="10" t="s">
        <v>369</v>
      </c>
      <c r="D8" s="10" t="s">
        <v>370</v>
      </c>
      <c r="E8" s="10" t="s">
        <v>371</v>
      </c>
      <c r="P8" s="10" t="s">
        <v>363</v>
      </c>
      <c r="Q8" s="10" t="s">
        <v>372</v>
      </c>
    </row>
    <row r="9" spans="1:20" x14ac:dyDescent="0.25">
      <c r="A9" s="10" t="s">
        <v>373</v>
      </c>
      <c r="B9" s="10" t="s">
        <v>374</v>
      </c>
      <c r="D9" s="10" t="s">
        <v>375</v>
      </c>
      <c r="E9" s="10" t="s">
        <v>376</v>
      </c>
      <c r="P9" s="10" t="s">
        <v>368</v>
      </c>
      <c r="Q9" s="10" t="s">
        <v>377</v>
      </c>
    </row>
    <row r="10" spans="1:20" x14ac:dyDescent="0.25">
      <c r="A10" s="10" t="s">
        <v>131</v>
      </c>
      <c r="B10" s="10" t="s">
        <v>378</v>
      </c>
      <c r="P10" s="10" t="s">
        <v>373</v>
      </c>
      <c r="Q10" s="10" t="s">
        <v>379</v>
      </c>
    </row>
    <row r="11" spans="1:20" x14ac:dyDescent="0.25">
      <c r="A11" s="10" t="s">
        <v>380</v>
      </c>
      <c r="B11" s="10" t="s">
        <v>381</v>
      </c>
      <c r="P11" s="10" t="s">
        <v>131</v>
      </c>
      <c r="Q11" s="10" t="s">
        <v>382</v>
      </c>
    </row>
    <row r="12" spans="1:20" x14ac:dyDescent="0.25">
      <c r="A12" s="10" t="s">
        <v>207</v>
      </c>
      <c r="B12" s="10" t="s">
        <v>383</v>
      </c>
      <c r="P12" s="10" t="s">
        <v>384</v>
      </c>
      <c r="Q12" s="10" t="s">
        <v>385</v>
      </c>
    </row>
    <row r="13" spans="1:20" x14ac:dyDescent="0.25">
      <c r="A13" s="10" t="s">
        <v>386</v>
      </c>
      <c r="B13" s="10" t="s">
        <v>387</v>
      </c>
      <c r="P13" s="10" t="s">
        <v>388</v>
      </c>
      <c r="Q13" s="10" t="s">
        <v>389</v>
      </c>
    </row>
    <row r="14" spans="1:20" x14ac:dyDescent="0.25">
      <c r="A14" s="10" t="s">
        <v>390</v>
      </c>
      <c r="B14" s="10" t="s">
        <v>391</v>
      </c>
    </row>
    <row r="15" spans="1:20" x14ac:dyDescent="0.25">
      <c r="A15" s="10" t="s">
        <v>392</v>
      </c>
      <c r="B15" s="10" t="s">
        <v>393</v>
      </c>
    </row>
    <row r="16" spans="1:20" x14ac:dyDescent="0.25">
      <c r="A16" s="10" t="s">
        <v>394</v>
      </c>
      <c r="B16" s="10" t="s">
        <v>395</v>
      </c>
    </row>
    <row r="17" spans="1:2" x14ac:dyDescent="0.25">
      <c r="A17" s="10" t="s">
        <v>360</v>
      </c>
      <c r="B17" s="10" t="s">
        <v>396</v>
      </c>
    </row>
    <row r="18" spans="1:2" x14ac:dyDescent="0.25">
      <c r="A18" s="10" t="s">
        <v>397</v>
      </c>
      <c r="B18" s="10" t="s">
        <v>398</v>
      </c>
    </row>
    <row r="19" spans="1:2" x14ac:dyDescent="0.25">
      <c r="A19" s="10" t="s">
        <v>388</v>
      </c>
      <c r="B19" s="10" t="s">
        <v>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INSTRUÇÕES</vt:lpstr>
      <vt:lpstr>0_EMPRESA</vt:lpstr>
      <vt:lpstr>0150_PARTICIPANTES</vt:lpstr>
      <vt:lpstr>0190_UNIDADES</vt:lpstr>
      <vt:lpstr>0200_ITENS</vt:lpstr>
      <vt:lpstr>0400_NAT_REC</vt:lpstr>
      <vt:lpstr>0500_PLANO_CONTAS</vt:lpstr>
      <vt:lpstr>A100_A170</vt:lpstr>
      <vt:lpstr>C100_C170</vt:lpstr>
      <vt:lpstr>D100_D101_D105</vt:lpstr>
      <vt:lpstr>C500_C501_C505</vt:lpstr>
      <vt:lpstr>F100</vt:lpstr>
      <vt:lpstr>F120</vt:lpstr>
      <vt:lpstr>F130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Júlio Cezar Nelson</cp:lastModifiedBy>
  <dcterms:created xsi:type="dcterms:W3CDTF">2026-04-11T17:40:39Z</dcterms:created>
  <dcterms:modified xsi:type="dcterms:W3CDTF">2026-05-27T18:15:03Z</dcterms:modified>
</cp:coreProperties>
</file>